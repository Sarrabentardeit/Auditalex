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nta\Nextcloud\Dossier collaboratif - Alexann' Group\Audits à finaliser\"/>
    </mc:Choice>
  </mc:AlternateContent>
  <xr:revisionPtr revIDLastSave="0" documentId="8_{5C17C71F-4A6F-514D-A074-DFDE5F457B3A}" xr6:coauthVersionLast="47" xr6:coauthVersionMax="47" xr10:uidLastSave="{00000000-0000-0000-0000-000000000000}"/>
  <bookViews>
    <workbookView xWindow="-108" yWindow="-108" windowWidth="23256" windowHeight="12456" activeTab="1" xr2:uid="{82F84640-DC16-4322-8033-F6F5694AEEA8}"/>
  </bookViews>
  <sheets>
    <sheet name="cartographie" sheetId="1" r:id="rId1"/>
    <sheet name="grille_de_cotation" sheetId="2" r:id="rId2"/>
    <sheet name="Listes_défilantes" sheetId="3" r:id="rId3"/>
    <sheet name="résultats" sheetId="4" r:id="rId4"/>
  </sheets>
  <definedNames>
    <definedName name="_xlnm.Print_Titles" localSheetId="1">grille_de_cotation!$1:$2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7" i="2" l="1"/>
  <c r="J97" i="2"/>
  <c r="H104" i="2"/>
  <c r="J104" i="2"/>
  <c r="J96" i="2"/>
  <c r="C9" i="4"/>
  <c r="H82" i="2"/>
  <c r="J82" i="2"/>
  <c r="H89" i="2"/>
  <c r="J89" i="2"/>
  <c r="J81" i="2"/>
  <c r="C8" i="4"/>
  <c r="H60" i="2"/>
  <c r="J60" i="2"/>
  <c r="H67" i="2"/>
  <c r="J67" i="2"/>
  <c r="H74" i="2"/>
  <c r="J74" i="2"/>
  <c r="J59" i="2"/>
  <c r="C7" i="4"/>
  <c r="H38" i="2"/>
  <c r="J38" i="2"/>
  <c r="H45" i="2"/>
  <c r="J45" i="2"/>
  <c r="H52" i="2"/>
  <c r="J52" i="2"/>
  <c r="J37" i="2"/>
  <c r="C6" i="4"/>
  <c r="H23" i="2"/>
  <c r="J23" i="2"/>
  <c r="H30" i="2"/>
  <c r="J30" i="2"/>
  <c r="J22" i="2"/>
  <c r="C5" i="4"/>
  <c r="H4" i="2"/>
  <c r="J4" i="2"/>
  <c r="H10" i="2"/>
  <c r="J10" i="2"/>
  <c r="H16" i="2"/>
  <c r="J16" i="2"/>
  <c r="J3" i="2"/>
  <c r="C4" i="4"/>
  <c r="J111" i="2"/>
  <c r="I32" i="1"/>
  <c r="L111" i="2"/>
  <c r="C30" i="1"/>
  <c r="C7" i="1"/>
  <c r="B7" i="1"/>
  <c r="B5" i="1"/>
  <c r="C10" i="4"/>
  <c r="C3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av</author>
  </authors>
  <commentList>
    <comment ref="I2" authorId="0" shapeId="0" xr:uid="{56C3ADF6-A6D6-4511-9C34-DE57771C1663}">
      <text>
        <r>
          <rPr>
            <b/>
            <sz val="8"/>
            <color rgb="FF000000"/>
            <rFont val="Times New Roman"/>
            <family val="1"/>
          </rPr>
          <t>poids attribué à chacune des affirmations en fonction du degré d'importance de l'obligation</t>
        </r>
        <r>
          <rPr>
            <b/>
            <sz val="8"/>
            <color rgb="FF000000"/>
            <rFont val="Times New Roman"/>
            <family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<sst xmlns="http://schemas.openxmlformats.org/spreadsheetml/2006/main" count="253" uniqueCount="186">
  <si>
    <t xml:space="preserve">Date de l'exécution : </t>
  </si>
  <si>
    <r>
      <t xml:space="preserve">Nombre de </t>
    </r>
    <r>
      <rPr>
        <b/>
        <sz val="12"/>
        <color rgb="FFFF0000"/>
        <rFont val="Arial"/>
        <family val="2"/>
      </rPr>
      <t>KO</t>
    </r>
    <r>
      <rPr>
        <sz val="12"/>
        <color rgb="FF000000"/>
        <rFont val="Arial"/>
        <family val="2"/>
      </rPr>
      <t xml:space="preserve"> =</t>
    </r>
  </si>
  <si>
    <t>Amendes potentielles =</t>
  </si>
  <si>
    <t>Maîtrise de l'hygiène à :</t>
  </si>
  <si>
    <t>%</t>
  </si>
  <si>
    <t>ACTIONS CORRECTIVES ATTENDUES</t>
  </si>
  <si>
    <t>Ecarts constatés</t>
  </si>
  <si>
    <t>Actions correctives définies par le responsable</t>
  </si>
  <si>
    <t>Délai</t>
  </si>
  <si>
    <t>Réalisation</t>
  </si>
  <si>
    <t>Vérification</t>
  </si>
  <si>
    <t>Quand</t>
  </si>
  <si>
    <t>Visa</t>
  </si>
  <si>
    <t>KO</t>
  </si>
  <si>
    <t>*</t>
  </si>
  <si>
    <t>pondération</t>
  </si>
  <si>
    <t>Note</t>
  </si>
  <si>
    <t>Commentaires</t>
  </si>
  <si>
    <t>Actions correctives</t>
  </si>
  <si>
    <t>Photo(s)</t>
  </si>
  <si>
    <t>1. LOCAUX ET EQUIPEMENTS</t>
  </si>
  <si>
    <t>Lutte contre les nuisibles</t>
  </si>
  <si>
    <t>Contrat 3D en place</t>
  </si>
  <si>
    <t>Conforme</t>
  </si>
  <si>
    <t>Maintenance des locaux et équipements</t>
  </si>
  <si>
    <t>Ensemble bien entretenu</t>
  </si>
  <si>
    <t>Nettoyage et désinfection des locaux et équipements</t>
  </si>
  <si>
    <t>Ensemble propre et bien rangé</t>
  </si>
  <si>
    <t xml:space="preserve">2. MAITRISE DES TEMPÉRATURES </t>
  </si>
  <si>
    <t>Maîtrise du froid positif et négatif (enregistrement de températures, températures effectives, joints, givre…)</t>
  </si>
  <si>
    <t>Froid maîtrisé</t>
  </si>
  <si>
    <t>Maîtrise du chaud (Bain-marie, friteuses, grilles de four…)</t>
  </si>
  <si>
    <t>Chaud maîtrisé</t>
  </si>
  <si>
    <t xml:space="preserve">3. MAITRISE DES MATIÈRES </t>
  </si>
  <si>
    <t>Contrôle à réception</t>
  </si>
  <si>
    <t>BL pris en photo avec prise de tempéature</t>
  </si>
  <si>
    <t>Gestions des conditionnements et emballages</t>
  </si>
  <si>
    <t>Absence de cartons et emballages primaires en zone de production. Les aliments sont protégés et datés.</t>
  </si>
  <si>
    <t xml:space="preserve">Affichage </t>
  </si>
  <si>
    <t xml:space="preserve">Présence des affichages </t>
  </si>
  <si>
    <t>4. TRACABILITE ET GESTION DES NON-CONFORMITES</t>
  </si>
  <si>
    <t>Système de traçabilité (Réalisation, qualité des photos, traçabilité fonctionnelle…)</t>
  </si>
  <si>
    <t>La traçabilité est fonctionnelle</t>
  </si>
  <si>
    <t>Gestion des non-conformités</t>
  </si>
  <si>
    <t>La gestion des non-conformités est réalisée</t>
  </si>
  <si>
    <t>Gestion des actions correctives de l'audit précédent</t>
  </si>
  <si>
    <t>Des actions correctives de l'audit précédent ont été mises en place</t>
  </si>
  <si>
    <t>5. GESTION DES DECHETS ET DES SOUS-PRODUITS ANIMAUX</t>
  </si>
  <si>
    <t>Gestion des déchets</t>
  </si>
  <si>
    <t>Les déchets sont régulièrement évacués</t>
  </si>
  <si>
    <t>Gestions des poubelles</t>
  </si>
  <si>
    <t>Présence de poubelles fermées à pédale</t>
  </si>
  <si>
    <t>6. GESTION DU PERSONNEL</t>
  </si>
  <si>
    <t>Hygiène et équipements du personnel (lave-mains et consommables, sanitaires, vestiaires…)</t>
  </si>
  <si>
    <t>Tenue de travail conforme</t>
  </si>
  <si>
    <t>Formation et instructions à disposition du personnel</t>
  </si>
  <si>
    <t>oui</t>
  </si>
  <si>
    <t>Personnel formé et attestations présentes</t>
  </si>
  <si>
    <t>NOTE TOTALE obtenue pour l'ensembles des Bonnes Pratiques d'Hygiène :</t>
  </si>
  <si>
    <t>nombre de KO :</t>
  </si>
  <si>
    <r>
      <rPr>
        <sz val="12"/>
        <color rgb="FF000000"/>
        <rFont val="Arial"/>
        <family val="2"/>
      </rPr>
      <t>*</t>
    </r>
    <r>
      <rPr>
        <sz val="10"/>
        <color rgb="FF000000"/>
        <rFont val="Arial"/>
        <family val="2"/>
      </rPr>
      <t xml:space="preserve"> 1 : conforme ; 0,7 : non-conformité mineur ; 0,3 : non-conformité moyenne ; 0 : non-conformité majeur</t>
    </r>
  </si>
  <si>
    <t>Entrée potentielle de nuisibles</t>
  </si>
  <si>
    <t>Toutes les ouvertures doivent être fermées</t>
  </si>
  <si>
    <t>Mettre en place un contrat 3D</t>
  </si>
  <si>
    <t>Utiliser un désinsectiseur UV</t>
  </si>
  <si>
    <t>Joints des timbres froids détériorés</t>
  </si>
  <si>
    <t>Changez les joints détériorés</t>
  </si>
  <si>
    <t>Présence de givre excessif</t>
  </si>
  <si>
    <t>Dégivrez les installations de froids</t>
  </si>
  <si>
    <t>Carrelages cassés</t>
  </si>
  <si>
    <t>Remplacez le carrelage cassé</t>
  </si>
  <si>
    <t>Présence de rouille</t>
  </si>
  <si>
    <t>Prévoir des travaux de rénovation</t>
  </si>
  <si>
    <t>Présence de peinture écaillée</t>
  </si>
  <si>
    <t>Produits de nettoyage conformes au plan de nettoyage affiché</t>
  </si>
  <si>
    <t>Présence de salissures anciennes</t>
  </si>
  <si>
    <t>Effectuez un nettoyage plus approfondi</t>
  </si>
  <si>
    <t>Enregistrement du nettoyage non effectué</t>
  </si>
  <si>
    <t>Effectuez l'enregistrement du nettoyage</t>
  </si>
  <si>
    <t>Produits non conformes</t>
  </si>
  <si>
    <t>Procurez vous des produits nettoyants et désinfectants</t>
  </si>
  <si>
    <t>Plans de nettoyage non affichés</t>
  </si>
  <si>
    <t>Affichez les plans de nettoyage</t>
  </si>
  <si>
    <t>Le matériel de nettoyage est accroché</t>
  </si>
  <si>
    <t xml:space="preserve">Le matériel de nettoyage est posé au sol </t>
  </si>
  <si>
    <t>Accrochez le matériel de nettoyage</t>
  </si>
  <si>
    <t>Le matériel de nettoyage est propre</t>
  </si>
  <si>
    <t>Le matériel de nettoyage est sale</t>
  </si>
  <si>
    <t>Le matériel de nettoyage doit être nettoyé et désinfecté</t>
  </si>
  <si>
    <t>Présence d'eau stagnante</t>
  </si>
  <si>
    <t>Asséchez au maximum après le nettoyage</t>
  </si>
  <si>
    <t>Refroidissement rapide maîtrisé</t>
  </si>
  <si>
    <t>Refroidissement rapide non maîtrisé</t>
  </si>
  <si>
    <t>La baisse de température de 65°C à 3°C doit être effectuée en moins de 2 heures et enregistrée</t>
  </si>
  <si>
    <t>Enregistrement du refroidissement rapide non effectué</t>
  </si>
  <si>
    <t>Enregistrement du refroidissement rapide effectué</t>
  </si>
  <si>
    <t>Enregistrement des relevés de températures non effectué</t>
  </si>
  <si>
    <t>Effectuez l'enregistrement des relevés de températures</t>
  </si>
  <si>
    <t>Enregistrement des relevés de températures effectué</t>
  </si>
  <si>
    <t>Températures non conformes</t>
  </si>
  <si>
    <t>Effectuez une maintenance des installations de froid</t>
  </si>
  <si>
    <t>Présence de denrées en décongélation à température ambiante</t>
  </si>
  <si>
    <t>La décongélation doit être réalisée en chambre froide</t>
  </si>
  <si>
    <t>Températures buffets non conformes</t>
  </si>
  <si>
    <t>Revoir l'utilisation des buffets</t>
  </si>
  <si>
    <t>Température bain-marie non conforme</t>
  </si>
  <si>
    <t>Revoir l'utilisation du bain-marie</t>
  </si>
  <si>
    <t>TPM huile de friture conforme</t>
  </si>
  <si>
    <t>TPM huile de friture non conforme</t>
  </si>
  <si>
    <t>Changez l'huile immédiatement</t>
  </si>
  <si>
    <t>Absence de l'enregistrement des changements d'huile</t>
  </si>
  <si>
    <t>Enregistrer les changement d'huile</t>
  </si>
  <si>
    <t>3. MAITRISE DES MATIÈRES</t>
  </si>
  <si>
    <t>Contrôle à réception sans prise de température</t>
  </si>
  <si>
    <t>Le contrôle doit être fait avec un thermomètre infra rouge + photo du BL</t>
  </si>
  <si>
    <t>Absence de contrôle à réception</t>
  </si>
  <si>
    <t>Ce contrôle est obligatoire et doit être réalisé avec prise de température et photo du BL</t>
  </si>
  <si>
    <t>Présence de cartons et emballages primaires en zone de production</t>
  </si>
  <si>
    <t>Eliminez les cartons et emballages primaires en zone de production</t>
  </si>
  <si>
    <t>Les aliments ne sont pas protégés, ni datés</t>
  </si>
  <si>
    <t>Protégez et datez les aliments</t>
  </si>
  <si>
    <t>Les aliments ne sont pas datés</t>
  </si>
  <si>
    <t>Datez les aliments</t>
  </si>
  <si>
    <t>Présence d'aliment(s) à DLC dépassée = 2 250€ d'amendes /aliment concerné.</t>
  </si>
  <si>
    <t>Vérifiez les DLC tous les jours.</t>
  </si>
  <si>
    <t>Le stockage au sol est interdit</t>
  </si>
  <si>
    <t>Affichage (allergènes, origines des viandes…)</t>
  </si>
  <si>
    <t>Présence de l'affichage des allergènes et origine des viandes</t>
  </si>
  <si>
    <t>Absence de l'affichage des allergènes</t>
  </si>
  <si>
    <t>Mettre en place l'affichage des allergènes</t>
  </si>
  <si>
    <t>Absence de l'affichage de l'origine des viandes</t>
  </si>
  <si>
    <t>Mettre en place l'affichage de l'origine des viandes</t>
  </si>
  <si>
    <t>La traçabilité est réalisée mais n'est pas fonctionnelle</t>
  </si>
  <si>
    <t>Attention à la lisibilité des photos</t>
  </si>
  <si>
    <t>La traçabilité n'est pas réalisée</t>
  </si>
  <si>
    <t>La traçabilité est obligatoire et doit être réalisée et fonctionnelle</t>
  </si>
  <si>
    <t>La gestion des non-conformités n'est pas réalisée</t>
  </si>
  <si>
    <t>La gestion des non-conformités est à réaliser</t>
  </si>
  <si>
    <t>Des actions correctives de l'audit précédent n'ont pas été mises en place</t>
  </si>
  <si>
    <t>Des actions correctives de l'audit précédent doivent être mises en place</t>
  </si>
  <si>
    <t>Présence de déchets non évacués</t>
  </si>
  <si>
    <t>Evacuez les déchets de la zone de production dès que possible</t>
  </si>
  <si>
    <t>Absence de poubelles fermées à pédale</t>
  </si>
  <si>
    <t>Mettre en place des poubelles fermées à pédale</t>
  </si>
  <si>
    <t>Poubelle à pédale cassée</t>
  </si>
  <si>
    <t>Remplacez ou réparez les poubelles cassées</t>
  </si>
  <si>
    <t>Poubelles sales</t>
  </si>
  <si>
    <t>Nettoyez les poubelles de zone de production tous les jours</t>
  </si>
  <si>
    <t>Présence de lave-mains propres avec tous les consommables, vestiaires et sanitaires propres.</t>
  </si>
  <si>
    <t>Présence de papier jetable sur les plans de travail</t>
  </si>
  <si>
    <t>Le papier jetable doit être placé dans son dévidoir.</t>
  </si>
  <si>
    <t>Absence de savon bactéricide</t>
  </si>
  <si>
    <t>Mettre en place du savon bactéricide dans des distributeurs</t>
  </si>
  <si>
    <t>Tenue de travail non conforme</t>
  </si>
  <si>
    <t>Elle doit être composée de vétements propres qui recouvre la tenue personnel et changée tous les jours</t>
  </si>
  <si>
    <t>Personnel formé et attestations consultables</t>
  </si>
  <si>
    <t>Attestation de formation non consultable</t>
  </si>
  <si>
    <t>Les attestations de formation doivent être consultables</t>
  </si>
  <si>
    <t>Le personnel n'est pas formé</t>
  </si>
  <si>
    <t>La formation doit être mise en place au plus vite</t>
  </si>
  <si>
    <t>La formation Hygiène a plus de 3 ans.</t>
  </si>
  <si>
    <t>La formation Hygiène est à renouvelée rapidement.</t>
  </si>
  <si>
    <t>SYNTHESE DES RESULTATS</t>
  </si>
  <si>
    <t>Bonnes Pratiques</t>
  </si>
  <si>
    <t>Items</t>
  </si>
  <si>
    <t xml:space="preserve">Notes </t>
  </si>
  <si>
    <t>LOCAUX ET EQUIPEMENTS</t>
  </si>
  <si>
    <t>MAITRISE DES TEMPERATURES</t>
  </si>
  <si>
    <t>MAITRISE DES MATIERES</t>
  </si>
  <si>
    <t>TRACABILITE ET GESTION DES NON-CONFORMITES</t>
  </si>
  <si>
    <t>GESTION DES DECHETS ET DES SOUS-PRODUITS ANIMAUX</t>
  </si>
  <si>
    <t>GESTION DU PERSONNEL</t>
  </si>
  <si>
    <t>NOTE TOTALE</t>
  </si>
  <si>
    <t xml:space="preserve">Présence de salissures anciennes sous le plan de travail </t>
  </si>
  <si>
    <t xml:space="preserve">Effectuez un nettoyage plus approfondi notamment sous les plans de travail </t>
  </si>
  <si>
    <t>Présence d'une boîte de conserve dans le timbre froid</t>
  </si>
  <si>
    <t>Les boîtes de conserve dans les timbres froids sont interdites, le contenu doit être placé dans un récipient, filmé et daté.</t>
  </si>
  <si>
    <t>Présence de salissures anciennes sous les palettes</t>
  </si>
  <si>
    <t xml:space="preserve">Absence de vestiaire pour le personnel </t>
  </si>
  <si>
    <t xml:space="preserve">Mettre en place des casiers pour le personnel </t>
  </si>
  <si>
    <t>Ce contrôle est obligatoire</t>
  </si>
  <si>
    <t>enregistrement des changements d'huile</t>
  </si>
  <si>
    <t>Enregistrement du nettoyage effectué</t>
  </si>
  <si>
    <t>/01/2025</t>
  </si>
  <si>
    <t xml:space="preserve">Adresse : </t>
  </si>
  <si>
    <t xml:space="preserve">vu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</si>
</sst>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€&quot;"/>
  </numFmts>
  <fonts count="17" x14ac:knownFonts="1">
    <font>
      <sz val="10"/>
      <color rgb="FF000000"/>
      <name val="Arial"/>
      <family val="2"/>
    </font>
    <font>
      <sz val="10"/>
      <color rgb="FF000000"/>
      <name val="Arial"/>
      <family val="2"/>
    </font>
    <font>
      <sz val="12"/>
      <color rgb="FF000000"/>
      <name val="Arial"/>
      <family val="2"/>
    </font>
    <font>
      <b/>
      <sz val="10"/>
      <color rgb="FF000000"/>
      <name val="Arial"/>
      <family val="2"/>
    </font>
    <font>
      <b/>
      <sz val="22"/>
      <color rgb="FF000000"/>
      <name val="Arial"/>
      <family val="2"/>
    </font>
    <font>
      <sz val="14"/>
      <color rgb="FF000000"/>
      <name val="Arial"/>
      <family val="2"/>
    </font>
    <font>
      <b/>
      <sz val="12"/>
      <color rgb="FFFF0000"/>
      <name val="Arial"/>
      <family val="2"/>
    </font>
    <font>
      <b/>
      <sz val="16"/>
      <color rgb="FFFF0000"/>
      <name val="Arial"/>
      <family val="2"/>
    </font>
    <font>
      <b/>
      <sz val="28"/>
      <color rgb="FF000000"/>
      <name val="Arial"/>
      <family val="2"/>
    </font>
    <font>
      <b/>
      <sz val="18"/>
      <color rgb="FF000000"/>
      <name val="Arial"/>
      <family val="2"/>
    </font>
    <font>
      <b/>
      <sz val="7"/>
      <color rgb="FF000000"/>
      <name val="Arial"/>
      <family val="2"/>
    </font>
    <font>
      <b/>
      <sz val="6"/>
      <color rgb="FF000000"/>
      <name val="Arial"/>
      <family val="2"/>
    </font>
    <font>
      <b/>
      <sz val="10"/>
      <color rgb="FFFF0000"/>
      <name val="Arial"/>
      <family val="2"/>
    </font>
    <font>
      <b/>
      <sz val="12"/>
      <color rgb="FF000000"/>
      <name val="Arial"/>
      <family val="2"/>
    </font>
    <font>
      <b/>
      <sz val="8"/>
      <color rgb="FF000000"/>
      <name val="Times New Roman"/>
      <family val="1"/>
    </font>
    <font>
      <b/>
      <sz val="9"/>
      <color rgb="FF000000"/>
      <name val="Arial"/>
      <family val="2"/>
    </font>
    <font>
      <b/>
      <sz val="8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BFBFBF"/>
        <bgColor rgb="FFBFBFBF"/>
      </patternFill>
    </fill>
    <fill>
      <patternFill patternType="solid">
        <fgColor rgb="FFFF0000"/>
        <bgColor rgb="FFFF0000"/>
      </patternFill>
    </fill>
  </fills>
  <borders count="3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right"/>
    </xf>
    <xf numFmtId="14" fontId="3" fillId="0" borderId="0" xfId="0" applyNumberFormat="1" applyFont="1" applyAlignment="1">
      <alignment horizontal="left"/>
    </xf>
    <xf numFmtId="10" fontId="4" fillId="0" borderId="0" xfId="1" applyNumberFormat="1" applyFont="1" applyAlignment="1">
      <alignment vertical="center"/>
    </xf>
    <xf numFmtId="12" fontId="0" fillId="0" borderId="0" xfId="0" applyNumberFormat="1"/>
    <xf numFmtId="0" fontId="5" fillId="0" borderId="0" xfId="0" applyFont="1"/>
    <xf numFmtId="0" fontId="2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164" fontId="7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10" fontId="4" fillId="0" borderId="0" xfId="0" applyNumberFormat="1" applyFont="1" applyAlignment="1">
      <alignment vertical="center"/>
    </xf>
    <xf numFmtId="0" fontId="7" fillId="0" borderId="0" xfId="0" applyFont="1"/>
    <xf numFmtId="2" fontId="8" fillId="0" borderId="0" xfId="1" applyNumberFormat="1" applyFont="1" applyAlignment="1">
      <alignment vertical="center"/>
    </xf>
    <xf numFmtId="2" fontId="4" fillId="0" borderId="0" xfId="0" applyNumberFormat="1" applyFont="1" applyAlignment="1">
      <alignment horizontal="left" vertical="center"/>
    </xf>
    <xf numFmtId="0" fontId="10" fillId="0" borderId="4" xfId="0" applyFont="1" applyBorder="1" applyAlignment="1">
      <alignment vertical="top" wrapText="1"/>
    </xf>
    <xf numFmtId="0" fontId="10" fillId="0" borderId="0" xfId="0" applyFont="1" applyAlignment="1">
      <alignment vertical="top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vertical="top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3" fillId="0" borderId="7" xfId="0" applyNumberFormat="1" applyFont="1" applyBorder="1" applyAlignment="1">
      <alignment horizontal="center" wrapText="1"/>
    </xf>
    <xf numFmtId="0" fontId="12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0" fillId="2" borderId="10" xfId="0" applyFill="1" applyBorder="1" applyAlignment="1">
      <alignment horizontal="center"/>
    </xf>
    <xf numFmtId="9" fontId="3" fillId="2" borderId="13" xfId="1" applyFont="1" applyFill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9" fontId="3" fillId="2" borderId="12" xfId="1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9" fontId="3" fillId="2" borderId="17" xfId="1" applyFont="1" applyFill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1" xfId="0" applyFill="1" applyBorder="1" applyAlignment="1">
      <alignment horizontal="center"/>
    </xf>
    <xf numFmtId="9" fontId="3" fillId="2" borderId="16" xfId="1" applyFont="1" applyFill="1" applyBorder="1" applyAlignment="1">
      <alignment horizontal="center"/>
    </xf>
    <xf numFmtId="0" fontId="0" fillId="0" borderId="1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17" xfId="0" applyFill="1" applyBorder="1" applyAlignment="1">
      <alignment horizontal="center"/>
    </xf>
    <xf numFmtId="9" fontId="3" fillId="2" borderId="13" xfId="1" applyFon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0" fontId="13" fillId="2" borderId="7" xfId="0" applyNumberFormat="1" applyFont="1" applyFill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4" borderId="14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21" xfId="0" applyBorder="1" applyAlignment="1">
      <alignment vertical="top" wrapText="1"/>
    </xf>
    <xf numFmtId="0" fontId="0" fillId="0" borderId="22" xfId="0" applyBorder="1" applyAlignment="1">
      <alignment vertical="top" wrapText="1"/>
    </xf>
    <xf numFmtId="0" fontId="0" fillId="0" borderId="23" xfId="0" applyBorder="1"/>
    <xf numFmtId="0" fontId="0" fillId="0" borderId="0" xfId="0" applyAlignment="1">
      <alignment wrapText="1"/>
    </xf>
    <xf numFmtId="0" fontId="0" fillId="0" borderId="24" xfId="0" applyBorder="1" applyAlignment="1">
      <alignment vertical="top" wrapText="1"/>
    </xf>
    <xf numFmtId="0" fontId="0" fillId="0" borderId="25" xfId="0" applyBorder="1" applyAlignment="1">
      <alignment vertical="top" wrapText="1"/>
    </xf>
    <xf numFmtId="0" fontId="0" fillId="0" borderId="26" xfId="0" applyBorder="1"/>
    <xf numFmtId="0" fontId="0" fillId="0" borderId="27" xfId="0" applyBorder="1"/>
    <xf numFmtId="0" fontId="0" fillId="0" borderId="28" xfId="0" applyBorder="1" applyAlignment="1">
      <alignment vertical="top" wrapText="1"/>
    </xf>
    <xf numFmtId="0" fontId="0" fillId="0" borderId="23" xfId="0" applyBorder="1" applyAlignment="1">
      <alignment vertical="top" wrapText="1"/>
    </xf>
    <xf numFmtId="0" fontId="0" fillId="0" borderId="24" xfId="0" applyBorder="1"/>
    <xf numFmtId="0" fontId="0" fillId="0" borderId="25" xfId="0" applyBorder="1"/>
    <xf numFmtId="0" fontId="0" fillId="0" borderId="26" xfId="0" applyBorder="1" applyAlignment="1">
      <alignment vertical="top" wrapText="1"/>
    </xf>
    <xf numFmtId="0" fontId="0" fillId="0" borderId="27" xfId="0" applyBorder="1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top" wrapText="1"/>
    </xf>
    <xf numFmtId="0" fontId="3" fillId="0" borderId="10" xfId="0" applyFont="1" applyBorder="1" applyAlignment="1">
      <alignment horizontal="left" vertical="top" wrapText="1"/>
    </xf>
    <xf numFmtId="9" fontId="0" fillId="0" borderId="14" xfId="0" applyNumberFormat="1" applyBorder="1" applyAlignment="1">
      <alignment horizontal="center"/>
    </xf>
    <xf numFmtId="0" fontId="3" fillId="0" borderId="15" xfId="0" applyFont="1" applyBorder="1" applyAlignment="1">
      <alignment horizontal="center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center" vertical="top" wrapText="1"/>
    </xf>
    <xf numFmtId="0" fontId="3" fillId="0" borderId="10" xfId="0" applyFont="1" applyBorder="1" applyAlignment="1">
      <alignment wrapText="1"/>
    </xf>
    <xf numFmtId="10" fontId="3" fillId="0" borderId="19" xfId="0" applyNumberFormat="1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9" fillId="0" borderId="0" xfId="0" applyFont="1" applyAlignment="1">
      <alignment horizontal="center" vertical="top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top" wrapText="1"/>
    </xf>
    <xf numFmtId="0" fontId="11" fillId="0" borderId="3" xfId="0" applyFont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4" borderId="13" xfId="0" applyFill="1" applyBorder="1"/>
    <xf numFmtId="0" fontId="0" fillId="0" borderId="14" xfId="0" applyBorder="1" applyAlignment="1">
      <alignment horizontal="center" vertical="center"/>
    </xf>
    <xf numFmtId="9" fontId="1" fillId="0" borderId="10" xfId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" fillId="2" borderId="19" xfId="0" applyFont="1" applyFill="1" applyBorder="1" applyAlignment="1">
      <alignment horizontal="left" vertical="top" wrapText="1"/>
    </xf>
    <xf numFmtId="0" fontId="0" fillId="3" borderId="10" xfId="0" applyFill="1" applyBorder="1" applyAlignment="1">
      <alignment horizontal="center" vertical="center"/>
    </xf>
    <xf numFmtId="0" fontId="3" fillId="2" borderId="20" xfId="0" applyFont="1" applyFill="1" applyBorder="1" applyAlignment="1">
      <alignment horizontal="left" vertical="top" wrapText="1"/>
    </xf>
    <xf numFmtId="0" fontId="0" fillId="0" borderId="2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2" borderId="10" xfId="0" applyFont="1" applyFill="1" applyBorder="1" applyAlignment="1">
      <alignment vertical="top" wrapText="1"/>
    </xf>
    <xf numFmtId="0" fontId="0" fillId="4" borderId="13" xfId="0" applyFill="1" applyBorder="1" applyAlignment="1">
      <alignment horizontal="center" vertical="center"/>
    </xf>
    <xf numFmtId="0" fontId="3" fillId="2" borderId="14" xfId="0" applyFont="1" applyFill="1" applyBorder="1" applyAlignment="1">
      <alignment horizontal="left" vertical="top"/>
    </xf>
    <xf numFmtId="0" fontId="0" fillId="3" borderId="13" xfId="0" applyFill="1" applyBorder="1" applyAlignment="1">
      <alignment horizontal="center" vertical="center"/>
    </xf>
    <xf numFmtId="0" fontId="3" fillId="2" borderId="0" xfId="0" applyFont="1" applyFill="1" applyAlignment="1">
      <alignment horizontal="left" vertical="top" wrapText="1"/>
    </xf>
    <xf numFmtId="0" fontId="0" fillId="0" borderId="0" xfId="0"/>
    <xf numFmtId="0" fontId="3" fillId="0" borderId="0" xfId="0" applyFont="1" applyAlignment="1">
      <alignment horizontal="left"/>
    </xf>
    <xf numFmtId="0" fontId="13" fillId="0" borderId="10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2" borderId="9" xfId="0" applyFont="1" applyFill="1" applyBorder="1" applyAlignment="1">
      <alignment horizontal="left" vertical="top" wrapText="1"/>
    </xf>
    <xf numFmtId="0" fontId="0" fillId="3" borderId="10" xfId="0" applyFill="1" applyBorder="1"/>
    <xf numFmtId="0" fontId="0" fillId="0" borderId="0" xfId="0" applyAlignment="1">
      <alignment horizontal="left" vertical="top" wrapText="1"/>
    </xf>
    <xf numFmtId="0" fontId="3" fillId="0" borderId="10" xfId="0" applyFont="1" applyBorder="1" applyAlignment="1">
      <alignment horizontal="center" vertical="top" wrapText="1"/>
    </xf>
  </cellXfs>
  <cellStyles count="2">
    <cellStyle name="Normal" xfId="0" builtinId="0" customBuiltin="1"/>
    <cellStyle name="Pourcentage" xfId="1" builtinId="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lIns="0" tIns="0" rIns="0" bIns="0"/>
          <a:lstStyle/>
          <a:p>
            <a:pPr marL="0" marR="0" indent="0" algn="ctr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600" b="0" i="0" u="none" strike="noStrike" kern="1200" spc="70" baseline="0">
                <a:solidFill>
                  <a:srgbClr val="7F7F7F"/>
                </a:solidFill>
                <a:latin typeface="Calibri"/>
              </a:defRPr>
            </a:pPr>
            <a:r>
              <a:rPr lang="en-US" sz="1600" b="0" i="0" u="none" strike="noStrike" kern="1200" cap="none" spc="70" baseline="0">
                <a:solidFill>
                  <a:srgbClr val="7F7F7F"/>
                </a:solidFill>
                <a:uFillTx/>
                <a:latin typeface="Calibri"/>
              </a:rPr>
              <a:t>CARTOGRAPHIE RADAR DES "BONNES PRATIQUES HYGIENIQUES"</a:t>
            </a:r>
          </a:p>
        </c:rich>
      </c:tx>
      <c:layout>
        <c:manualLayout>
          <c:xMode val="edge"/>
          <c:yMode val="edge"/>
          <c:x val="0.12955582281321462"/>
          <c:y val="2.795117380033833E-2"/>
        </c:manualLayout>
      </c:layout>
      <c:overlay val="0"/>
      <c:spPr>
        <a:noFill/>
        <a:ln>
          <a:noFill/>
        </a:ln>
      </c:spPr>
    </c:title>
    <c:autoTitleDeleted val="0"/>
    <c:plotArea>
      <c:layout>
        <c:manualLayout>
          <c:xMode val="edge"/>
          <c:yMode val="edge"/>
          <c:x val="4.9725254083873516E-2"/>
          <c:y val="0.12768578579918624"/>
          <c:w val="0.86631872745013505"/>
          <c:h val="0.74347146328501823"/>
        </c:manualLayout>
      </c:layout>
      <c:radarChart>
        <c:radarStyle val="filled"/>
        <c:varyColors val="0"/>
        <c:ser>
          <c:idx val="0"/>
          <c:order val="0"/>
          <c:spPr>
            <a:solidFill>
              <a:srgbClr val="5B9BD5">
                <a:alpha val="10196"/>
              </a:srgbClr>
            </a:solidFill>
            <a:ln w="28575">
              <a:solidFill>
                <a:srgbClr val="1F4E79"/>
              </a:solidFill>
              <a:prstDash val="solid"/>
            </a:ln>
          </c:spPr>
          <c:cat>
            <c:strRef>
              <c:f>résultats!$B$4:$B$9</c:f>
              <c:strCache>
                <c:ptCount val="6"/>
                <c:pt idx="0">
                  <c:v>LOCAUX ET EQUIPEMENTS</c:v>
                </c:pt>
                <c:pt idx="1">
                  <c:v>MAITRISE DES TEMPERATURES</c:v>
                </c:pt>
                <c:pt idx="2">
                  <c:v>MAITRISE DES MATIERES</c:v>
                </c:pt>
                <c:pt idx="3">
                  <c:v>TRACABILITE ET GESTION DES NON-CONFORMITES</c:v>
                </c:pt>
                <c:pt idx="4">
                  <c:v>GESTION DES DECHETS ET DES SOUS-PRODUITS ANIMAUX</c:v>
                </c:pt>
                <c:pt idx="5">
                  <c:v>GESTION DU PERSONNEL</c:v>
                </c:pt>
              </c:strCache>
            </c:strRef>
          </c:cat>
          <c:val>
            <c:numRef>
              <c:f>résultats!$C$4:$C$9</c:f>
              <c:numCache>
                <c:formatCode>0%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C8-4C58-8879-DE2D771B61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3982127"/>
        <c:axId val="1423978287"/>
      </c:radarChart>
      <c:valAx>
        <c:axId val="1423978287"/>
        <c:scaling>
          <c:orientation val="minMax"/>
          <c:max val="1"/>
          <c:min val="0"/>
        </c:scaling>
        <c:delete val="0"/>
        <c:axPos val="l"/>
        <c:majorGridlines>
          <c:spPr>
            <a:ln w="9528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900" b="0" i="0" u="none" strike="noStrike" kern="1200" baseline="0">
                <a:solidFill>
                  <a:srgbClr val="7F7F7F"/>
                </a:solidFill>
                <a:latin typeface="Calibri"/>
              </a:defRPr>
            </a:pPr>
            <a:endParaRPr lang="fr-FR"/>
          </a:p>
        </c:txPr>
        <c:crossAx val="1423982127"/>
        <c:crosses val="autoZero"/>
        <c:crossBetween val="between"/>
        <c:majorUnit val="0.25"/>
      </c:valAx>
      <c:catAx>
        <c:axId val="1423982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8" cap="flat">
            <a:solidFill>
              <a:srgbClr val="D9D9D9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900" b="0" i="0" u="none" strike="noStrike" kern="1200" baseline="0">
                <a:solidFill>
                  <a:srgbClr val="7F7F7F"/>
                </a:solidFill>
                <a:latin typeface="Calibri"/>
              </a:defRPr>
            </a:pPr>
            <a:endParaRPr lang="fr-FR"/>
          </a:p>
        </c:txPr>
        <c:crossAx val="1423978287"/>
        <c:crosses val="autoZero"/>
        <c:auto val="1"/>
        <c:lblAlgn val="ctr"/>
        <c:lblOffset val="100"/>
        <c:noMultiLvlLbl val="0"/>
      </c:catAx>
      <c:spPr>
        <a:noFill/>
        <a:ln>
          <a:noFill/>
        </a:ln>
      </c:spPr>
    </c:plotArea>
    <c:plotVisOnly val="0"/>
    <c:dispBlanksAs val="gap"/>
    <c:showDLblsOverMax val="0"/>
  </c:chart>
  <c:spPr>
    <a:noFill/>
    <a:ln w="9528" cap="flat">
      <a:solidFill>
        <a:srgbClr val="FFFFFF"/>
      </a:solidFill>
      <a:prstDash val="solid"/>
      <a:round/>
    </a:ln>
  </c:spPr>
  <c:txPr>
    <a:bodyPr lIns="0" tIns="0" rIns="0" bIns="0"/>
    <a:lstStyle/>
    <a:p>
      <a:pPr marL="0" marR="0" indent="0" defTabSz="914400" fontAlgn="auto" hangingPunct="1">
        <a:lnSpc>
          <a:spcPct val="100000"/>
        </a:lnSpc>
        <a:spcBef>
          <a:spcPts val="0"/>
        </a:spcBef>
        <a:spcAft>
          <a:spcPts val="0"/>
        </a:spcAft>
        <a:tabLst/>
        <a:defRPr lang="en-US" sz="900" b="0" i="0" u="none" strike="noStrike" kern="1200" baseline="0">
          <a:solidFill>
            <a:srgbClr val="000000"/>
          </a:solidFill>
          <a:latin typeface="Calibri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104771</xdr:colOff>
      <xdr:row>0</xdr:row>
      <xdr:rowOff>114301</xdr:rowOff>
    </xdr:from>
    <xdr:ext cx="9572629" cy="4813300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C9EEF23-A8B2-5B78-2445-0F5A769832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 /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 /><Relationship Id="rId2" Type="http://schemas.openxmlformats.org/officeDocument/2006/relationships/vmlDrawing" Target="../drawings/vmlDrawing2.vml" /><Relationship Id="rId1" Type="http://schemas.openxmlformats.org/officeDocument/2006/relationships/printerSettings" Target="../printerSettings/printerSettings2.bin" /><Relationship Id="rId4" Type="http://schemas.openxmlformats.org/officeDocument/2006/relationships/comments" Target="../comments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0DD69-173B-434A-9ABF-2D5D34BD9F7F}">
  <dimension ref="A5:L48"/>
  <sheetViews>
    <sheetView view="pageLayout" zoomScaleNormal="100" workbookViewId="0">
      <selection activeCell="D41" sqref="D41:F41"/>
    </sheetView>
  </sheetViews>
  <sheetFormatPr defaultColWidth="10.515625" defaultRowHeight="12.75" x14ac:dyDescent="0.15"/>
  <cols>
    <col min="1" max="1" width="10.515625" customWidth="1"/>
    <col min="2" max="2" width="14.5625" customWidth="1"/>
    <col min="3" max="3" width="16.98828125" bestFit="1" customWidth="1"/>
    <col min="4" max="5" width="10.515625" customWidth="1"/>
    <col min="6" max="6" width="13.484375" customWidth="1"/>
    <col min="7" max="7" width="12.9453125" bestFit="1" customWidth="1"/>
    <col min="8" max="8" width="10.515625" customWidth="1"/>
    <col min="9" max="9" width="24.2734375" customWidth="1"/>
    <col min="10" max="10" width="19.8203125" customWidth="1"/>
    <col min="11" max="11" width="0.1328125" customWidth="1"/>
    <col min="12" max="12" width="10.515625" customWidth="1"/>
  </cols>
  <sheetData>
    <row r="5" spans="2:3" x14ac:dyDescent="0.15">
      <c r="B5" s="1" t="str">
        <f>grille_de_cotation!J1</f>
        <v xml:space="preserve">Adresse : </v>
      </c>
    </row>
    <row r="6" spans="2:3" x14ac:dyDescent="0.15">
      <c r="B6" s="1"/>
    </row>
    <row r="7" spans="2:3" x14ac:dyDescent="0.15">
      <c r="B7" s="2" t="str">
        <f>grille_de_cotation!A1</f>
        <v xml:space="preserve">Date de l'exécution : </v>
      </c>
      <c r="C7" s="3" t="str">
        <f>grille_de_cotation!A2</f>
        <v>/01/2025</v>
      </c>
    </row>
    <row r="8" spans="2:3" x14ac:dyDescent="0.15">
      <c r="B8" s="1"/>
    </row>
    <row r="22" spans="1:11" ht="13.15" customHeight="1" x14ac:dyDescent="0.15">
      <c r="I22" s="4"/>
    </row>
    <row r="23" spans="1:11" ht="15.6" customHeight="1" x14ac:dyDescent="0.15">
      <c r="I23" s="4"/>
    </row>
    <row r="24" spans="1:11" ht="13.15" customHeight="1" x14ac:dyDescent="0.15">
      <c r="I24" s="4"/>
    </row>
    <row r="25" spans="1:11" ht="16.149999999999999" customHeight="1" x14ac:dyDescent="0.15">
      <c r="I25" s="4"/>
    </row>
    <row r="26" spans="1:11" ht="16.899999999999999" customHeight="1" x14ac:dyDescent="0.15">
      <c r="I26" s="4"/>
    </row>
    <row r="27" spans="1:11" ht="15.6" customHeight="1" x14ac:dyDescent="0.15">
      <c r="I27" s="4"/>
      <c r="K27">
        <v>100</v>
      </c>
    </row>
    <row r="28" spans="1:11" ht="16.149999999999999" customHeight="1" x14ac:dyDescent="0.15">
      <c r="I28" s="4"/>
      <c r="K28">
        <v>85</v>
      </c>
    </row>
    <row r="29" spans="1:11" ht="16.899999999999999" customHeight="1" x14ac:dyDescent="0.15">
      <c r="C29" s="5"/>
      <c r="I29" s="4"/>
      <c r="K29">
        <v>70</v>
      </c>
    </row>
    <row r="30" spans="1:11" ht="17.45" customHeight="1" x14ac:dyDescent="0.2">
      <c r="A30" s="6"/>
      <c r="B30" s="7" t="s">
        <v>1</v>
      </c>
      <c r="C30" s="8">
        <f>grille_de_cotation!L111</f>
        <v>0</v>
      </c>
      <c r="I30" s="4"/>
      <c r="K30">
        <v>0</v>
      </c>
    </row>
    <row r="31" spans="1:11" ht="17.45" customHeight="1" x14ac:dyDescent="0.15">
      <c r="B31" s="9" t="s">
        <v>2</v>
      </c>
      <c r="C31" s="10">
        <f>C30*450*5</f>
        <v>0</v>
      </c>
      <c r="F31" s="11"/>
      <c r="G31" s="11"/>
      <c r="H31" s="11"/>
      <c r="I31" s="4"/>
      <c r="J31" s="12"/>
      <c r="K31" s="12"/>
    </row>
    <row r="32" spans="1:11" ht="33.6" customHeight="1" x14ac:dyDescent="0.25">
      <c r="B32" s="13"/>
      <c r="E32" s="11" t="s">
        <v>3</v>
      </c>
      <c r="F32" s="11"/>
      <c r="G32" s="11"/>
      <c r="H32" s="11"/>
      <c r="I32" s="14">
        <f>(grille_de_cotation!J111)*100</f>
        <v>100</v>
      </c>
      <c r="J32" s="15" t="s">
        <v>4</v>
      </c>
      <c r="K32" s="12"/>
    </row>
    <row r="33" spans="1:12" ht="43.5" customHeight="1" x14ac:dyDescent="0.25">
      <c r="B33" s="13"/>
      <c r="E33" s="11"/>
      <c r="F33" s="11"/>
      <c r="G33" s="11"/>
      <c r="H33" s="11"/>
      <c r="I33" s="14"/>
      <c r="J33" s="15"/>
      <c r="K33" s="12"/>
    </row>
    <row r="34" spans="1:12" ht="33.6" customHeight="1" x14ac:dyDescent="0.15">
      <c r="A34" s="106" t="s">
        <v>5</v>
      </c>
      <c r="B34" s="106"/>
      <c r="C34" s="106"/>
      <c r="D34" s="106"/>
      <c r="E34" s="106"/>
      <c r="F34" s="106"/>
      <c r="G34" s="106"/>
      <c r="H34" s="106"/>
      <c r="I34" s="106"/>
      <c r="J34" s="106"/>
      <c r="K34" s="12"/>
    </row>
    <row r="35" spans="1:12" ht="23.25" customHeight="1" thickBot="1" x14ac:dyDescent="0.2">
      <c r="I35" s="4"/>
    </row>
    <row r="36" spans="1:12" ht="13.15" customHeight="1" thickBot="1" x14ac:dyDescent="0.2">
      <c r="A36" s="107" t="s">
        <v>6</v>
      </c>
      <c r="B36" s="107"/>
      <c r="C36" s="107"/>
      <c r="D36" s="107" t="s">
        <v>7</v>
      </c>
      <c r="E36" s="107"/>
      <c r="F36" s="107"/>
      <c r="G36" s="107" t="s">
        <v>8</v>
      </c>
      <c r="H36" s="108" t="s">
        <v>9</v>
      </c>
      <c r="I36" s="108"/>
      <c r="J36" s="109" t="s">
        <v>10</v>
      </c>
      <c r="K36" s="16"/>
      <c r="L36" s="17"/>
    </row>
    <row r="37" spans="1:12" ht="13.5" thickBot="1" x14ac:dyDescent="0.2">
      <c r="A37" s="107"/>
      <c r="B37" s="107"/>
      <c r="C37" s="107"/>
      <c r="D37" s="107"/>
      <c r="E37" s="107"/>
      <c r="F37" s="107"/>
      <c r="G37" s="107"/>
      <c r="H37" s="18" t="s">
        <v>11</v>
      </c>
      <c r="I37" s="19" t="s">
        <v>12</v>
      </c>
      <c r="J37" s="109"/>
      <c r="K37" s="20"/>
      <c r="L37" s="17"/>
    </row>
    <row r="38" spans="1:12" ht="25.9" customHeight="1" x14ac:dyDescent="0.15">
      <c r="A38" s="104"/>
      <c r="B38" s="104"/>
      <c r="C38" s="104"/>
      <c r="D38" s="105"/>
      <c r="E38" s="105"/>
      <c r="F38" s="105"/>
      <c r="G38" s="21"/>
      <c r="H38" s="21"/>
      <c r="I38" s="21"/>
      <c r="J38" s="21"/>
    </row>
    <row r="39" spans="1:12" ht="27" customHeight="1" x14ac:dyDescent="0.15">
      <c r="A39" s="103"/>
      <c r="B39" s="103"/>
      <c r="C39" s="103"/>
      <c r="D39" s="103"/>
      <c r="E39" s="103"/>
      <c r="F39" s="103"/>
      <c r="G39" s="22"/>
      <c r="H39" s="22"/>
      <c r="I39" s="22"/>
      <c r="J39" s="22"/>
    </row>
    <row r="40" spans="1:12" ht="27.6" customHeight="1" x14ac:dyDescent="0.15">
      <c r="A40" s="103"/>
      <c r="B40" s="103"/>
      <c r="C40" s="103"/>
      <c r="D40" s="103"/>
      <c r="E40" s="103"/>
      <c r="F40" s="103"/>
      <c r="G40" s="22"/>
      <c r="H40" s="22"/>
      <c r="I40" s="22"/>
      <c r="J40" s="22"/>
    </row>
    <row r="41" spans="1:12" ht="27.6" customHeight="1" x14ac:dyDescent="0.15">
      <c r="A41" s="103"/>
      <c r="B41" s="103"/>
      <c r="C41" s="103"/>
      <c r="D41" s="103"/>
      <c r="E41" s="103"/>
      <c r="F41" s="103"/>
      <c r="G41" s="22"/>
      <c r="H41" s="22"/>
      <c r="I41" s="22"/>
      <c r="J41" s="22"/>
    </row>
    <row r="42" spans="1:12" ht="27.6" customHeight="1" x14ac:dyDescent="0.15">
      <c r="A42" s="103"/>
      <c r="B42" s="103"/>
      <c r="C42" s="103"/>
      <c r="D42" s="103"/>
      <c r="E42" s="103"/>
      <c r="F42" s="103"/>
      <c r="G42" s="22"/>
      <c r="H42" s="22"/>
      <c r="I42" s="22"/>
      <c r="J42" s="22"/>
    </row>
    <row r="43" spans="1:12" ht="25.9" customHeight="1" x14ac:dyDescent="0.15">
      <c r="A43" s="103"/>
      <c r="B43" s="103"/>
      <c r="C43" s="103"/>
      <c r="D43" s="103"/>
      <c r="E43" s="103"/>
      <c r="F43" s="103"/>
      <c r="G43" s="22"/>
      <c r="H43" s="22"/>
      <c r="I43" s="22"/>
      <c r="J43" s="22"/>
    </row>
    <row r="44" spans="1:12" ht="27.6" customHeight="1" x14ac:dyDescent="0.15">
      <c r="A44" s="103"/>
      <c r="B44" s="103"/>
      <c r="C44" s="103"/>
      <c r="D44" s="103"/>
      <c r="E44" s="103"/>
      <c r="F44" s="103"/>
      <c r="G44" s="22"/>
      <c r="H44" s="22"/>
      <c r="I44" s="22"/>
      <c r="J44" s="22"/>
    </row>
    <row r="45" spans="1:12" ht="25.9" customHeight="1" x14ac:dyDescent="0.15">
      <c r="A45" s="103"/>
      <c r="B45" s="103"/>
      <c r="C45" s="103"/>
      <c r="D45" s="103"/>
      <c r="E45" s="103"/>
      <c r="F45" s="103"/>
      <c r="G45" s="22"/>
      <c r="H45" s="22"/>
      <c r="I45" s="22"/>
      <c r="J45" s="22"/>
    </row>
    <row r="48" spans="1:12" x14ac:dyDescent="0.15">
      <c r="B48" s="1"/>
    </row>
  </sheetData>
  <mergeCells count="22">
    <mergeCell ref="A34:J34"/>
    <mergeCell ref="A36:C37"/>
    <mergeCell ref="D36:F37"/>
    <mergeCell ref="G36:G37"/>
    <mergeCell ref="H36:I36"/>
    <mergeCell ref="J36:J37"/>
    <mergeCell ref="A38:C38"/>
    <mergeCell ref="D38:F38"/>
    <mergeCell ref="A39:C39"/>
    <mergeCell ref="D39:F39"/>
    <mergeCell ref="A40:C40"/>
    <mergeCell ref="D40:F40"/>
    <mergeCell ref="A44:C44"/>
    <mergeCell ref="D44:F44"/>
    <mergeCell ref="A45:C45"/>
    <mergeCell ref="D45:F45"/>
    <mergeCell ref="A41:C41"/>
    <mergeCell ref="D41:F41"/>
    <mergeCell ref="A42:C42"/>
    <mergeCell ref="D42:F42"/>
    <mergeCell ref="A43:C43"/>
    <mergeCell ref="D43:F43"/>
  </mergeCells>
  <conditionalFormatting sqref="I32">
    <cfRule type="iconSet" priority="1">
      <iconSet iconSet="3Symbols">
        <cfvo type="percent" val="0"/>
        <cfvo type="num" val="80"/>
        <cfvo type="num" val="90"/>
      </iconSet>
    </cfRule>
  </conditionalFormatting>
  <pageMargins left="0.39370078740157505" right="0.19685039370078702" top="1.3958333333333375" bottom="0.39370078740157505" header="0.19685039370078702" footer="0.15748031496063003"/>
  <pageSetup paperSize="9" scale="97" fitToWidth="0" fitToHeight="0" orientation="landscape" horizontalDpi="90" verticalDpi="90" r:id="rId1"/>
  <headerFooter alignWithMargins="0">
    <oddHeader>&amp;L&amp;G&amp;C&amp;12CARTOGRAPHIE RADAR 
LES BONNES PRATIQUES D'HYGIENE&amp;R&amp;12Anne SUQUET
anne@alexann.fr
06 46 45 67 33</oddHeader>
    <oddFooter>&amp;C&amp;P/&amp;N</oddFooter>
  </headerFooter>
  <rowBreaks count="1" manualBreakCount="1">
    <brk id="32" max="16383" man="1"/>
  </rowBreaks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11798-5CE7-46C2-8A11-96C3A1D97AC1}">
  <dimension ref="A1:R111"/>
  <sheetViews>
    <sheetView tabSelected="1" view="pageLayout" zoomScaleNormal="100" workbookViewId="0">
      <selection activeCell="N97" sqref="N97:R103"/>
    </sheetView>
  </sheetViews>
  <sheetFormatPr defaultColWidth="10.515625" defaultRowHeight="12.75" outlineLevelCol="1" x14ac:dyDescent="0.15"/>
  <cols>
    <col min="1" max="1" width="24.8125" style="58" customWidth="1"/>
    <col min="2" max="2" width="4.04296875" customWidth="1"/>
    <col min="3" max="3" width="5.12109375" customWidth="1"/>
    <col min="4" max="4" width="0.26953125" customWidth="1"/>
    <col min="5" max="5" width="4.44921875" hidden="1" customWidth="1"/>
    <col min="6" max="6" width="3.1015625" hidden="1" customWidth="1"/>
    <col min="7" max="7" width="5.93359375" hidden="1" customWidth="1"/>
    <col min="8" max="8" width="4.04296875" hidden="1" customWidth="1" outlineLevel="1"/>
    <col min="9" max="9" width="1.88671875" hidden="1" customWidth="1" collapsed="1"/>
    <col min="10" max="10" width="12.5390625" customWidth="1"/>
    <col min="11" max="11" width="22.65234375" customWidth="1"/>
    <col min="12" max="12" width="10.515625" customWidth="1"/>
    <col min="13" max="13" width="11.0546875" customWidth="1"/>
    <col min="14" max="16" width="10.515625" customWidth="1"/>
    <col min="17" max="17" width="4.71875" customWidth="1"/>
    <col min="18" max="18" width="25.08203125" customWidth="1"/>
    <col min="19" max="19" width="10.515625" customWidth="1"/>
  </cols>
  <sheetData>
    <row r="1" spans="1:18" ht="13.15" customHeight="1" x14ac:dyDescent="0.15">
      <c r="A1" s="23" t="s">
        <v>0</v>
      </c>
      <c r="B1" s="131"/>
      <c r="C1" s="131"/>
      <c r="D1" s="131"/>
      <c r="E1" s="131"/>
      <c r="F1" s="131"/>
      <c r="G1" s="131"/>
      <c r="H1" s="25"/>
      <c r="J1" s="132" t="s">
        <v>184</v>
      </c>
      <c r="K1" s="132"/>
      <c r="L1" s="132"/>
      <c r="M1" s="132"/>
      <c r="N1" s="132"/>
      <c r="O1" s="132"/>
      <c r="P1" s="132"/>
      <c r="Q1" s="132"/>
      <c r="R1" s="132"/>
    </row>
    <row r="2" spans="1:18" ht="14.45" customHeight="1" x14ac:dyDescent="0.15">
      <c r="A2" s="26" t="s">
        <v>183</v>
      </c>
      <c r="B2" s="27" t="s">
        <v>13</v>
      </c>
      <c r="C2" s="133" t="s">
        <v>14</v>
      </c>
      <c r="D2" s="133"/>
      <c r="E2" s="133"/>
      <c r="F2" s="133"/>
      <c r="G2" s="133"/>
      <c r="H2" s="28"/>
      <c r="I2" s="29" t="s">
        <v>15</v>
      </c>
      <c r="J2" s="30" t="s">
        <v>16</v>
      </c>
      <c r="K2" s="31" t="s">
        <v>17</v>
      </c>
      <c r="L2" s="134" t="s">
        <v>18</v>
      </c>
      <c r="M2" s="134"/>
      <c r="N2" s="135" t="s">
        <v>19</v>
      </c>
      <c r="O2" s="135"/>
      <c r="P2" s="135"/>
      <c r="Q2" s="135"/>
      <c r="R2" s="135"/>
    </row>
    <row r="3" spans="1:18" x14ac:dyDescent="0.15">
      <c r="A3" s="136" t="s">
        <v>20</v>
      </c>
      <c r="B3" s="136"/>
      <c r="C3" s="136"/>
      <c r="D3" s="136"/>
      <c r="E3" s="136"/>
      <c r="F3" s="136"/>
      <c r="G3" s="136"/>
      <c r="H3" s="136"/>
      <c r="I3" s="32"/>
      <c r="J3" s="33">
        <f>SUM(J4:J16)</f>
        <v>1</v>
      </c>
      <c r="K3" s="137"/>
      <c r="L3" s="137"/>
      <c r="M3" s="137"/>
      <c r="N3" s="137"/>
      <c r="O3" s="137"/>
      <c r="P3" s="137"/>
      <c r="Q3" s="137"/>
      <c r="R3" s="137"/>
    </row>
    <row r="4" spans="1:18" ht="27" customHeight="1" x14ac:dyDescent="0.15">
      <c r="A4" s="115" t="s">
        <v>21</v>
      </c>
      <c r="B4" s="116"/>
      <c r="C4" s="117">
        <v>1</v>
      </c>
      <c r="D4" s="117"/>
      <c r="E4" s="117"/>
      <c r="F4" s="117"/>
      <c r="G4" s="117"/>
      <c r="H4" s="22">
        <f>SUM(C4:E4)</f>
        <v>1</v>
      </c>
      <c r="I4" s="22">
        <v>0.33300000000000002</v>
      </c>
      <c r="J4" s="118">
        <f>H4*I4</f>
        <v>0.33300000000000002</v>
      </c>
      <c r="K4" s="35"/>
      <c r="L4" s="119"/>
      <c r="M4" s="119"/>
      <c r="N4" s="103"/>
      <c r="O4" s="103"/>
      <c r="P4" s="103"/>
      <c r="Q4" s="103"/>
      <c r="R4" s="103"/>
    </row>
    <row r="5" spans="1:18" ht="19.149999999999999" customHeight="1" x14ac:dyDescent="0.15">
      <c r="A5" s="115"/>
      <c r="B5" s="116"/>
      <c r="C5" s="117"/>
      <c r="D5" s="117"/>
      <c r="E5" s="117"/>
      <c r="F5" s="117"/>
      <c r="G5" s="117"/>
      <c r="H5" s="22"/>
      <c r="I5" s="22"/>
      <c r="J5" s="118"/>
      <c r="K5" s="37"/>
      <c r="L5" s="112"/>
      <c r="M5" s="112"/>
      <c r="N5" s="103"/>
      <c r="O5" s="103"/>
      <c r="P5" s="103"/>
      <c r="Q5" s="103"/>
      <c r="R5" s="103"/>
    </row>
    <row r="6" spans="1:18" ht="27.6" customHeight="1" x14ac:dyDescent="0.15">
      <c r="A6" s="115"/>
      <c r="B6" s="116"/>
      <c r="C6" s="117"/>
      <c r="D6" s="117"/>
      <c r="E6" s="117"/>
      <c r="F6" s="117"/>
      <c r="G6" s="117"/>
      <c r="H6" s="22"/>
      <c r="I6" s="22"/>
      <c r="J6" s="118"/>
      <c r="K6" s="37" t="s">
        <v>22</v>
      </c>
      <c r="L6" s="113" t="s">
        <v>23</v>
      </c>
      <c r="M6" s="113"/>
      <c r="N6" s="103"/>
      <c r="O6" s="103"/>
      <c r="P6" s="103"/>
      <c r="Q6" s="103"/>
      <c r="R6" s="103"/>
    </row>
    <row r="7" spans="1:18" ht="19.149999999999999" customHeight="1" x14ac:dyDescent="0.15">
      <c r="A7" s="115"/>
      <c r="B7" s="116"/>
      <c r="C7" s="117"/>
      <c r="D7" s="117"/>
      <c r="E7" s="117"/>
      <c r="F7" s="117"/>
      <c r="G7" s="117"/>
      <c r="H7" s="22"/>
      <c r="I7" s="22"/>
      <c r="J7" s="118"/>
      <c r="K7" s="37"/>
      <c r="L7" s="112"/>
      <c r="M7" s="112"/>
      <c r="N7" s="103"/>
      <c r="O7" s="103"/>
      <c r="P7" s="103"/>
      <c r="Q7" s="103"/>
      <c r="R7" s="103"/>
    </row>
    <row r="8" spans="1:18" ht="20.45" customHeight="1" x14ac:dyDescent="0.15">
      <c r="A8" s="115"/>
      <c r="B8" s="116"/>
      <c r="C8" s="117"/>
      <c r="D8" s="117"/>
      <c r="E8" s="117"/>
      <c r="F8" s="117"/>
      <c r="G8" s="117"/>
      <c r="H8" s="22"/>
      <c r="I8" s="22"/>
      <c r="J8" s="118"/>
      <c r="K8" s="37"/>
      <c r="L8" s="112"/>
      <c r="M8" s="112"/>
      <c r="N8" s="103"/>
      <c r="O8" s="103"/>
      <c r="P8" s="103"/>
      <c r="Q8" s="103"/>
      <c r="R8" s="103"/>
    </row>
    <row r="9" spans="1:18" ht="20.45" customHeight="1" x14ac:dyDescent="0.15">
      <c r="A9" s="115"/>
      <c r="B9" s="116"/>
      <c r="C9" s="117"/>
      <c r="D9" s="117"/>
      <c r="E9" s="117"/>
      <c r="F9" s="117"/>
      <c r="G9" s="117"/>
      <c r="H9" s="22"/>
      <c r="I9" s="22"/>
      <c r="J9" s="118"/>
      <c r="K9" s="37"/>
      <c r="L9" s="114"/>
      <c r="M9" s="114"/>
      <c r="N9" s="103"/>
      <c r="O9" s="103"/>
      <c r="P9" s="103"/>
      <c r="Q9" s="103"/>
      <c r="R9" s="103"/>
    </row>
    <row r="10" spans="1:18" ht="18" customHeight="1" x14ac:dyDescent="0.15">
      <c r="A10" s="115" t="s">
        <v>24</v>
      </c>
      <c r="B10" s="116"/>
      <c r="C10" s="117">
        <v>1</v>
      </c>
      <c r="D10" s="117"/>
      <c r="E10" s="117"/>
      <c r="F10" s="117"/>
      <c r="G10" s="117"/>
      <c r="H10" s="22">
        <f>SUM(C10:E10)</f>
        <v>1</v>
      </c>
      <c r="I10" s="22">
        <v>0.33300000000000002</v>
      </c>
      <c r="J10" s="118">
        <f>H10*I10</f>
        <v>0.33300000000000002</v>
      </c>
      <c r="K10" s="35"/>
      <c r="L10" s="119"/>
      <c r="M10" s="119"/>
      <c r="N10" s="103"/>
      <c r="O10" s="103"/>
      <c r="P10" s="103"/>
      <c r="Q10" s="103"/>
      <c r="R10" s="103"/>
    </row>
    <row r="11" spans="1:18" ht="21.6" customHeight="1" x14ac:dyDescent="0.15">
      <c r="A11" s="115"/>
      <c r="B11" s="116"/>
      <c r="C11" s="117"/>
      <c r="D11" s="117"/>
      <c r="E11" s="117"/>
      <c r="F11" s="117"/>
      <c r="G11" s="117"/>
      <c r="H11" s="22"/>
      <c r="I11" s="22"/>
      <c r="J11" s="118"/>
      <c r="K11" s="37"/>
      <c r="L11" s="112"/>
      <c r="M11" s="112"/>
      <c r="N11" s="103"/>
      <c r="O11" s="103"/>
      <c r="P11" s="103"/>
      <c r="Q11" s="103"/>
      <c r="R11" s="103"/>
    </row>
    <row r="12" spans="1:18" ht="30" customHeight="1" x14ac:dyDescent="0.15">
      <c r="A12" s="115"/>
      <c r="B12" s="116"/>
      <c r="C12" s="117"/>
      <c r="D12" s="117"/>
      <c r="E12" s="117"/>
      <c r="F12" s="117"/>
      <c r="G12" s="117"/>
      <c r="H12" s="22"/>
      <c r="I12" s="22"/>
      <c r="J12" s="118"/>
      <c r="K12" s="37" t="s">
        <v>25</v>
      </c>
      <c r="L12" s="113" t="s">
        <v>23</v>
      </c>
      <c r="M12" s="113"/>
      <c r="N12" s="103"/>
      <c r="O12" s="103"/>
      <c r="P12" s="103"/>
      <c r="Q12" s="103"/>
      <c r="R12" s="103"/>
    </row>
    <row r="13" spans="1:18" ht="18" customHeight="1" x14ac:dyDescent="0.15">
      <c r="A13" s="115"/>
      <c r="B13" s="116"/>
      <c r="C13" s="117"/>
      <c r="D13" s="117"/>
      <c r="E13" s="117"/>
      <c r="F13" s="117"/>
      <c r="G13" s="117"/>
      <c r="H13" s="22"/>
      <c r="I13" s="22"/>
      <c r="J13" s="118"/>
      <c r="K13" s="37"/>
      <c r="L13" s="112"/>
      <c r="M13" s="112"/>
      <c r="N13" s="103"/>
      <c r="O13" s="103"/>
      <c r="P13" s="103"/>
      <c r="Q13" s="103"/>
      <c r="R13" s="103"/>
    </row>
    <row r="14" spans="1:18" ht="20.45" customHeight="1" x14ac:dyDescent="0.15">
      <c r="A14" s="115"/>
      <c r="B14" s="116"/>
      <c r="C14" s="117"/>
      <c r="D14" s="117"/>
      <c r="E14" s="117"/>
      <c r="F14" s="117"/>
      <c r="G14" s="117"/>
      <c r="H14" s="22"/>
      <c r="I14" s="22"/>
      <c r="J14" s="118"/>
      <c r="K14" s="37"/>
      <c r="L14" s="112"/>
      <c r="M14" s="112"/>
      <c r="N14" s="103"/>
      <c r="O14" s="103"/>
      <c r="P14" s="103"/>
      <c r="Q14" s="103"/>
      <c r="R14" s="103"/>
    </row>
    <row r="15" spans="1:18" ht="18" customHeight="1" x14ac:dyDescent="0.15">
      <c r="A15" s="115"/>
      <c r="B15" s="116"/>
      <c r="C15" s="117"/>
      <c r="D15" s="117"/>
      <c r="E15" s="117"/>
      <c r="F15" s="117"/>
      <c r="G15" s="117"/>
      <c r="H15" s="22"/>
      <c r="I15" s="22"/>
      <c r="J15" s="118"/>
      <c r="K15" s="37"/>
      <c r="L15" s="114"/>
      <c r="M15" s="114"/>
      <c r="N15" s="103"/>
      <c r="O15" s="103"/>
      <c r="P15" s="103"/>
      <c r="Q15" s="103"/>
      <c r="R15" s="103"/>
    </row>
    <row r="16" spans="1:18" ht="16.5" customHeight="1" x14ac:dyDescent="0.15">
      <c r="A16" s="115" t="s">
        <v>26</v>
      </c>
      <c r="B16" s="116"/>
      <c r="C16" s="117">
        <v>1</v>
      </c>
      <c r="D16" s="117"/>
      <c r="E16" s="117"/>
      <c r="F16" s="117"/>
      <c r="G16" s="117"/>
      <c r="H16" s="34">
        <f>SUM(C16:E16)</f>
        <v>1</v>
      </c>
      <c r="I16" s="22">
        <v>0.33400000000000002</v>
      </c>
      <c r="J16" s="118">
        <f>H16*I16</f>
        <v>0.33400000000000002</v>
      </c>
      <c r="K16" s="35"/>
      <c r="L16" s="119"/>
      <c r="M16" s="119"/>
      <c r="N16" s="103"/>
      <c r="O16" s="103"/>
      <c r="P16" s="103"/>
      <c r="Q16" s="103"/>
      <c r="R16" s="103"/>
    </row>
    <row r="17" spans="1:18" x14ac:dyDescent="0.15">
      <c r="A17" s="115"/>
      <c r="B17" s="116"/>
      <c r="C17" s="117"/>
      <c r="D17" s="117"/>
      <c r="E17" s="117"/>
      <c r="F17" s="117"/>
      <c r="G17" s="117"/>
      <c r="H17" s="34"/>
      <c r="I17" s="22"/>
      <c r="J17" s="118"/>
      <c r="K17" s="37"/>
      <c r="L17" s="112"/>
      <c r="M17" s="112"/>
      <c r="N17" s="103"/>
      <c r="O17" s="103"/>
      <c r="P17" s="103"/>
      <c r="Q17" s="103"/>
      <c r="R17" s="103"/>
    </row>
    <row r="18" spans="1:18" ht="42.75" customHeight="1" x14ac:dyDescent="0.15">
      <c r="A18" s="115"/>
      <c r="B18" s="116"/>
      <c r="C18" s="117"/>
      <c r="D18" s="117"/>
      <c r="E18" s="117"/>
      <c r="F18" s="117"/>
      <c r="G18" s="117"/>
      <c r="H18" s="34"/>
      <c r="I18" s="22"/>
      <c r="J18" s="118"/>
      <c r="K18" s="37" t="s">
        <v>74</v>
      </c>
      <c r="L18" s="113" t="s">
        <v>23</v>
      </c>
      <c r="M18" s="113"/>
      <c r="N18" s="103"/>
      <c r="O18" s="103"/>
      <c r="P18" s="103"/>
      <c r="Q18" s="103"/>
      <c r="R18" s="103"/>
    </row>
    <row r="19" spans="1:18" ht="28.5" customHeight="1" x14ac:dyDescent="0.15">
      <c r="A19" s="115"/>
      <c r="B19" s="116"/>
      <c r="C19" s="117"/>
      <c r="D19" s="117"/>
      <c r="E19" s="117"/>
      <c r="F19" s="117"/>
      <c r="G19" s="117"/>
      <c r="H19" s="34"/>
      <c r="I19" s="22"/>
      <c r="J19" s="118"/>
      <c r="K19" s="37"/>
      <c r="L19" s="113"/>
      <c r="M19" s="113"/>
      <c r="N19" s="103"/>
      <c r="O19" s="103"/>
      <c r="P19" s="103"/>
      <c r="Q19" s="103"/>
      <c r="R19" s="103"/>
    </row>
    <row r="20" spans="1:18" ht="39" customHeight="1" x14ac:dyDescent="0.15">
      <c r="A20" s="115"/>
      <c r="B20" s="116"/>
      <c r="C20" s="117"/>
      <c r="D20" s="117"/>
      <c r="E20" s="117"/>
      <c r="F20" s="117"/>
      <c r="G20" s="117"/>
      <c r="H20" s="34"/>
      <c r="I20" s="22"/>
      <c r="J20" s="118"/>
      <c r="K20" s="37" t="s">
        <v>182</v>
      </c>
      <c r="L20" s="112" t="s">
        <v>23</v>
      </c>
      <c r="M20" s="112"/>
      <c r="N20" s="103"/>
      <c r="O20" s="103"/>
      <c r="P20" s="103"/>
      <c r="Q20" s="103"/>
      <c r="R20" s="103"/>
    </row>
    <row r="21" spans="1:18" ht="16.5" customHeight="1" x14ac:dyDescent="0.15">
      <c r="A21" s="115"/>
      <c r="B21" s="116"/>
      <c r="C21" s="117"/>
      <c r="D21" s="117"/>
      <c r="E21" s="117"/>
      <c r="F21" s="117"/>
      <c r="G21" s="117"/>
      <c r="H21" s="34"/>
      <c r="I21" s="22"/>
      <c r="J21" s="118"/>
      <c r="K21" s="40"/>
      <c r="L21" s="114"/>
      <c r="M21" s="114"/>
      <c r="N21" s="103"/>
      <c r="O21" s="103"/>
      <c r="P21" s="103"/>
      <c r="Q21" s="103"/>
      <c r="R21" s="103"/>
    </row>
    <row r="22" spans="1:18" ht="26.25" customHeight="1" x14ac:dyDescent="0.15">
      <c r="A22" s="130" t="s">
        <v>28</v>
      </c>
      <c r="B22" s="130"/>
      <c r="C22" s="130"/>
      <c r="D22" s="130"/>
      <c r="E22" s="130"/>
      <c r="F22" s="130"/>
      <c r="G22" s="130"/>
      <c r="H22" s="32"/>
      <c r="I22" s="32"/>
      <c r="J22" s="41">
        <f>SUM(J23:J30)</f>
        <v>1</v>
      </c>
      <c r="K22" s="129"/>
      <c r="L22" s="129"/>
      <c r="M22" s="129"/>
      <c r="N22" s="129"/>
      <c r="O22" s="129"/>
      <c r="P22" s="129"/>
      <c r="Q22" s="129"/>
      <c r="R22" s="129"/>
    </row>
    <row r="23" spans="1:18" x14ac:dyDescent="0.15">
      <c r="A23" s="115" t="s">
        <v>29</v>
      </c>
      <c r="B23" s="116"/>
      <c r="C23" s="117">
        <v>1</v>
      </c>
      <c r="D23" s="117"/>
      <c r="E23" s="117"/>
      <c r="F23" s="117"/>
      <c r="G23" s="117"/>
      <c r="H23" s="34">
        <f>SUM(C23:G23)</f>
        <v>1</v>
      </c>
      <c r="I23" s="42">
        <v>0.5</v>
      </c>
      <c r="J23" s="118">
        <f>H23*I23</f>
        <v>0.5</v>
      </c>
      <c r="K23" s="35"/>
      <c r="L23" s="119"/>
      <c r="M23" s="119"/>
      <c r="N23" s="103"/>
      <c r="O23" s="103"/>
      <c r="P23" s="103"/>
      <c r="Q23" s="103"/>
      <c r="R23" s="103"/>
    </row>
    <row r="24" spans="1:18" ht="13.5" customHeight="1" x14ac:dyDescent="0.15">
      <c r="A24" s="115"/>
      <c r="B24" s="116"/>
      <c r="C24" s="117"/>
      <c r="D24" s="117"/>
      <c r="E24" s="117"/>
      <c r="F24" s="117"/>
      <c r="G24" s="117"/>
      <c r="H24" s="34"/>
      <c r="I24" s="42"/>
      <c r="J24" s="118"/>
      <c r="K24" s="37"/>
      <c r="L24" s="112"/>
      <c r="M24" s="112"/>
      <c r="N24" s="103"/>
      <c r="O24" s="103"/>
      <c r="P24" s="103"/>
      <c r="Q24" s="103"/>
      <c r="R24" s="103"/>
    </row>
    <row r="25" spans="1:18" x14ac:dyDescent="0.15">
      <c r="A25" s="115"/>
      <c r="B25" s="116"/>
      <c r="C25" s="117"/>
      <c r="D25" s="117"/>
      <c r="E25" s="117"/>
      <c r="F25" s="117"/>
      <c r="G25" s="117"/>
      <c r="H25" s="34"/>
      <c r="I25" s="42"/>
      <c r="J25" s="118"/>
      <c r="K25" s="37"/>
      <c r="L25" s="112"/>
      <c r="M25" s="112"/>
      <c r="N25" s="103"/>
      <c r="O25" s="103"/>
      <c r="P25" s="103"/>
      <c r="Q25" s="103"/>
      <c r="R25" s="103"/>
    </row>
    <row r="26" spans="1:18" ht="27" customHeight="1" x14ac:dyDescent="0.15">
      <c r="A26" s="115"/>
      <c r="B26" s="116"/>
      <c r="C26" s="117"/>
      <c r="D26" s="117"/>
      <c r="E26" s="117"/>
      <c r="F26" s="117"/>
      <c r="G26" s="117"/>
      <c r="H26" s="34"/>
      <c r="I26" s="42"/>
      <c r="J26" s="118"/>
      <c r="K26" s="37" t="s">
        <v>30</v>
      </c>
      <c r="L26" s="113" t="s">
        <v>23</v>
      </c>
      <c r="M26" s="113"/>
      <c r="N26" s="103"/>
      <c r="O26" s="103"/>
      <c r="P26" s="103"/>
      <c r="Q26" s="103"/>
      <c r="R26" s="103"/>
    </row>
    <row r="27" spans="1:18" x14ac:dyDescent="0.15">
      <c r="A27" s="115"/>
      <c r="B27" s="116"/>
      <c r="C27" s="117"/>
      <c r="D27" s="117"/>
      <c r="E27" s="117"/>
      <c r="F27" s="117"/>
      <c r="G27" s="117"/>
      <c r="H27" s="34"/>
      <c r="I27" s="42"/>
      <c r="J27" s="118"/>
      <c r="K27" s="37"/>
      <c r="L27" s="112"/>
      <c r="M27" s="112"/>
      <c r="N27" s="103"/>
      <c r="O27" s="103"/>
      <c r="P27" s="103"/>
      <c r="Q27" s="103"/>
      <c r="R27" s="103"/>
    </row>
    <row r="28" spans="1:18" ht="24" x14ac:dyDescent="0.15">
      <c r="A28" s="115"/>
      <c r="B28" s="116"/>
      <c r="C28" s="117"/>
      <c r="D28" s="117"/>
      <c r="E28" s="117"/>
      <c r="F28" s="117"/>
      <c r="G28" s="117"/>
      <c r="H28" s="34"/>
      <c r="I28" s="42"/>
      <c r="J28" s="118"/>
      <c r="K28" s="37" t="s">
        <v>98</v>
      </c>
      <c r="L28" s="112" t="s">
        <v>23</v>
      </c>
      <c r="M28" s="112"/>
      <c r="N28" s="103"/>
      <c r="O28" s="103"/>
      <c r="P28" s="103"/>
      <c r="Q28" s="103"/>
      <c r="R28" s="103"/>
    </row>
    <row r="29" spans="1:18" ht="73.150000000000006" customHeight="1" x14ac:dyDescent="0.15">
      <c r="A29" s="115"/>
      <c r="B29" s="116"/>
      <c r="C29" s="117"/>
      <c r="D29" s="117"/>
      <c r="E29" s="117"/>
      <c r="F29" s="117"/>
      <c r="G29" s="117"/>
      <c r="H29" s="34"/>
      <c r="I29" s="42"/>
      <c r="J29" s="118"/>
      <c r="K29" s="37"/>
      <c r="L29" s="114"/>
      <c r="M29" s="114"/>
      <c r="N29" s="103"/>
      <c r="O29" s="103"/>
      <c r="P29" s="103"/>
      <c r="Q29" s="103"/>
      <c r="R29" s="103"/>
    </row>
    <row r="30" spans="1:18" x14ac:dyDescent="0.15">
      <c r="A30" s="115" t="s">
        <v>31</v>
      </c>
      <c r="B30" s="116"/>
      <c r="C30" s="117">
        <v>1</v>
      </c>
      <c r="D30" s="117"/>
      <c r="E30" s="117"/>
      <c r="F30" s="117"/>
      <c r="G30" s="117"/>
      <c r="H30" s="34">
        <f>SUM(C30:G30)</f>
        <v>1</v>
      </c>
      <c r="I30" s="42">
        <v>0.5</v>
      </c>
      <c r="J30" s="118">
        <f>H30*I30</f>
        <v>0.5</v>
      </c>
      <c r="K30" s="35"/>
      <c r="L30" s="119"/>
      <c r="M30" s="119"/>
      <c r="N30" s="103"/>
      <c r="O30" s="103"/>
      <c r="P30" s="103"/>
      <c r="Q30" s="103"/>
      <c r="R30" s="103"/>
    </row>
    <row r="31" spans="1:18" x14ac:dyDescent="0.15">
      <c r="A31" s="115"/>
      <c r="B31" s="116"/>
      <c r="C31" s="117"/>
      <c r="D31" s="117"/>
      <c r="E31" s="117"/>
      <c r="F31" s="117"/>
      <c r="G31" s="117"/>
      <c r="H31" s="34"/>
      <c r="I31" s="42"/>
      <c r="J31" s="118"/>
      <c r="K31" s="37"/>
      <c r="L31" s="112"/>
      <c r="M31" s="112"/>
      <c r="N31" s="103"/>
      <c r="O31" s="103"/>
      <c r="P31" s="103"/>
      <c r="Q31" s="103"/>
      <c r="R31" s="103"/>
    </row>
    <row r="32" spans="1:18" x14ac:dyDescent="0.15">
      <c r="A32" s="115"/>
      <c r="B32" s="116"/>
      <c r="C32" s="117"/>
      <c r="D32" s="117"/>
      <c r="E32" s="117"/>
      <c r="F32" s="117"/>
      <c r="G32" s="117"/>
      <c r="H32" s="34"/>
      <c r="I32" s="42"/>
      <c r="J32" s="118"/>
      <c r="K32" s="37"/>
      <c r="L32" s="112"/>
      <c r="M32" s="112"/>
      <c r="N32" s="103"/>
      <c r="O32" s="103"/>
      <c r="P32" s="103"/>
      <c r="Q32" s="103"/>
      <c r="R32" s="103"/>
    </row>
    <row r="33" spans="1:18" ht="30" customHeight="1" x14ac:dyDescent="0.15">
      <c r="A33" s="115"/>
      <c r="B33" s="116"/>
      <c r="C33" s="117"/>
      <c r="D33" s="117"/>
      <c r="E33" s="117"/>
      <c r="F33" s="117"/>
      <c r="G33" s="117"/>
      <c r="H33" s="34"/>
      <c r="I33" s="42"/>
      <c r="J33" s="118"/>
      <c r="K33" s="37" t="s">
        <v>32</v>
      </c>
      <c r="L33" s="113" t="s">
        <v>23</v>
      </c>
      <c r="M33" s="113"/>
      <c r="N33" s="103"/>
      <c r="O33" s="103"/>
      <c r="P33" s="103"/>
      <c r="Q33" s="103"/>
      <c r="R33" s="103"/>
    </row>
    <row r="34" spans="1:18" ht="18" customHeight="1" x14ac:dyDescent="0.15">
      <c r="A34" s="115"/>
      <c r="B34" s="116"/>
      <c r="C34" s="117"/>
      <c r="D34" s="117"/>
      <c r="E34" s="117"/>
      <c r="F34" s="117"/>
      <c r="G34" s="117"/>
      <c r="H34" s="34"/>
      <c r="I34" s="42"/>
      <c r="J34" s="118"/>
      <c r="K34" s="37"/>
      <c r="L34" s="112"/>
      <c r="M34" s="112"/>
      <c r="N34" s="103"/>
      <c r="O34" s="103"/>
      <c r="P34" s="103"/>
      <c r="Q34" s="103"/>
      <c r="R34" s="103"/>
    </row>
    <row r="35" spans="1:18" x14ac:dyDescent="0.15">
      <c r="A35" s="115"/>
      <c r="B35" s="116"/>
      <c r="C35" s="117"/>
      <c r="D35" s="117"/>
      <c r="E35" s="117"/>
      <c r="F35" s="117"/>
      <c r="G35" s="117"/>
      <c r="H35" s="34"/>
      <c r="I35" s="42"/>
      <c r="J35" s="118"/>
      <c r="K35" s="37"/>
      <c r="L35" s="112"/>
      <c r="M35" s="112"/>
      <c r="N35" s="103"/>
      <c r="O35" s="103"/>
      <c r="P35" s="103"/>
      <c r="Q35" s="103"/>
      <c r="R35" s="103"/>
    </row>
    <row r="36" spans="1:18" ht="85.15" customHeight="1" x14ac:dyDescent="0.15">
      <c r="A36" s="115"/>
      <c r="B36" s="116"/>
      <c r="C36" s="117"/>
      <c r="D36" s="117"/>
      <c r="E36" s="117"/>
      <c r="F36" s="117"/>
      <c r="G36" s="117"/>
      <c r="H36" s="34"/>
      <c r="I36" s="42"/>
      <c r="J36" s="118"/>
      <c r="K36" s="40" t="s">
        <v>181</v>
      </c>
      <c r="L36" s="114" t="s">
        <v>23</v>
      </c>
      <c r="M36" s="114"/>
      <c r="N36" s="103"/>
      <c r="O36" s="103"/>
      <c r="P36" s="103"/>
      <c r="Q36" s="103"/>
      <c r="R36" s="103"/>
    </row>
    <row r="37" spans="1:18" x14ac:dyDescent="0.15">
      <c r="A37" s="128" t="s">
        <v>33</v>
      </c>
      <c r="B37" s="128"/>
      <c r="C37" s="128"/>
      <c r="D37" s="128"/>
      <c r="E37" s="128"/>
      <c r="F37" s="128"/>
      <c r="G37" s="128"/>
      <c r="H37" s="32"/>
      <c r="I37" s="32"/>
      <c r="J37" s="43">
        <f>SUM(J38:J52)</f>
        <v>1</v>
      </c>
      <c r="K37" s="129"/>
      <c r="L37" s="129"/>
      <c r="M37" s="129"/>
      <c r="N37" s="129"/>
      <c r="O37" s="129"/>
      <c r="P37" s="129"/>
      <c r="Q37" s="129"/>
      <c r="R37" s="129"/>
    </row>
    <row r="38" spans="1:18" x14ac:dyDescent="0.15">
      <c r="A38" s="115" t="s">
        <v>34</v>
      </c>
      <c r="B38" s="116"/>
      <c r="C38" s="117">
        <v>1</v>
      </c>
      <c r="D38" s="117"/>
      <c r="E38" s="117"/>
      <c r="F38" s="117"/>
      <c r="G38" s="117"/>
      <c r="H38" s="34">
        <f>SUM(C38:G38)</f>
        <v>1</v>
      </c>
      <c r="I38" s="42">
        <v>0.33300000000000002</v>
      </c>
      <c r="J38" s="118">
        <f>H38*I38</f>
        <v>0.33300000000000002</v>
      </c>
      <c r="K38" s="35"/>
      <c r="L38" s="119"/>
      <c r="M38" s="119"/>
      <c r="N38" s="103"/>
      <c r="O38" s="103"/>
      <c r="P38" s="103"/>
      <c r="Q38" s="103"/>
      <c r="R38" s="103"/>
    </row>
    <row r="39" spans="1:18" x14ac:dyDescent="0.15">
      <c r="A39" s="115"/>
      <c r="B39" s="116"/>
      <c r="C39" s="117"/>
      <c r="D39" s="117"/>
      <c r="E39" s="117"/>
      <c r="F39" s="117"/>
      <c r="G39" s="117"/>
      <c r="H39" s="34"/>
      <c r="I39" s="42"/>
      <c r="J39" s="118"/>
      <c r="K39" s="37"/>
      <c r="L39" s="112"/>
      <c r="M39" s="112"/>
      <c r="N39" s="103"/>
      <c r="O39" s="103"/>
      <c r="P39" s="103"/>
      <c r="Q39" s="103"/>
      <c r="R39" s="103"/>
    </row>
    <row r="40" spans="1:18" x14ac:dyDescent="0.15">
      <c r="A40" s="115"/>
      <c r="B40" s="116"/>
      <c r="C40" s="117"/>
      <c r="D40" s="117"/>
      <c r="E40" s="117"/>
      <c r="F40" s="117"/>
      <c r="G40" s="117"/>
      <c r="H40" s="34"/>
      <c r="I40" s="42"/>
      <c r="J40" s="118"/>
      <c r="K40" s="37"/>
      <c r="L40" s="112"/>
      <c r="M40" s="112"/>
      <c r="N40" s="103"/>
      <c r="O40" s="103"/>
      <c r="P40" s="103"/>
      <c r="Q40" s="103"/>
      <c r="R40" s="103"/>
    </row>
    <row r="41" spans="1:18" ht="57" customHeight="1" x14ac:dyDescent="0.15">
      <c r="A41" s="115"/>
      <c r="B41" s="116"/>
      <c r="C41" s="117"/>
      <c r="D41" s="117"/>
      <c r="E41" s="117"/>
      <c r="F41" s="117"/>
      <c r="G41" s="117"/>
      <c r="H41" s="34"/>
      <c r="I41" s="42"/>
      <c r="J41" s="118"/>
      <c r="K41" s="37" t="s">
        <v>35</v>
      </c>
      <c r="L41" s="113" t="s">
        <v>23</v>
      </c>
      <c r="M41" s="113"/>
      <c r="N41" s="103"/>
      <c r="O41" s="103"/>
      <c r="P41" s="103"/>
      <c r="Q41" s="103"/>
      <c r="R41" s="103"/>
    </row>
    <row r="42" spans="1:18" x14ac:dyDescent="0.15">
      <c r="A42" s="115"/>
      <c r="B42" s="116"/>
      <c r="C42" s="117"/>
      <c r="D42" s="117"/>
      <c r="E42" s="117"/>
      <c r="F42" s="117"/>
      <c r="G42" s="117"/>
      <c r="H42" s="34"/>
      <c r="I42" s="42"/>
      <c r="J42" s="118"/>
      <c r="K42" s="37"/>
      <c r="L42" s="112"/>
      <c r="M42" s="112"/>
      <c r="N42" s="103"/>
      <c r="O42" s="103"/>
      <c r="P42" s="103"/>
      <c r="Q42" s="103"/>
      <c r="R42" s="103"/>
    </row>
    <row r="43" spans="1:18" x14ac:dyDescent="0.15">
      <c r="A43" s="115"/>
      <c r="B43" s="116"/>
      <c r="C43" s="117"/>
      <c r="D43" s="117"/>
      <c r="E43" s="117"/>
      <c r="F43" s="117"/>
      <c r="G43" s="117"/>
      <c r="H43" s="34"/>
      <c r="I43" s="42"/>
      <c r="J43" s="118"/>
      <c r="K43" s="37"/>
      <c r="L43" s="112"/>
      <c r="M43" s="112"/>
      <c r="N43" s="103"/>
      <c r="O43" s="103"/>
      <c r="P43" s="103"/>
      <c r="Q43" s="103"/>
      <c r="R43" s="103"/>
    </row>
    <row r="44" spans="1:18" x14ac:dyDescent="0.15">
      <c r="A44" s="115"/>
      <c r="B44" s="116"/>
      <c r="C44" s="117"/>
      <c r="D44" s="117"/>
      <c r="E44" s="117"/>
      <c r="F44" s="117"/>
      <c r="G44" s="117"/>
      <c r="H44" s="34"/>
      <c r="I44" s="42"/>
      <c r="J44" s="118"/>
      <c r="K44" s="37"/>
      <c r="L44" s="114"/>
      <c r="M44" s="114"/>
      <c r="N44" s="103"/>
      <c r="O44" s="103"/>
      <c r="P44" s="103"/>
      <c r="Q44" s="103"/>
      <c r="R44" s="103"/>
    </row>
    <row r="45" spans="1:18" x14ac:dyDescent="0.15">
      <c r="A45" s="115" t="s">
        <v>36</v>
      </c>
      <c r="B45" s="127"/>
      <c r="C45" s="117">
        <v>1</v>
      </c>
      <c r="D45" s="117"/>
      <c r="E45" s="117"/>
      <c r="F45" s="117"/>
      <c r="G45" s="117"/>
      <c r="H45" s="22">
        <f>SUM(C45:G45)</f>
        <v>1</v>
      </c>
      <c r="I45" s="22">
        <v>0.33300000000000002</v>
      </c>
      <c r="J45" s="118">
        <f>H45*I45</f>
        <v>0.33300000000000002</v>
      </c>
      <c r="K45" s="35"/>
      <c r="L45" s="119"/>
      <c r="M45" s="119"/>
      <c r="N45" s="103"/>
      <c r="O45" s="103"/>
      <c r="P45" s="103"/>
      <c r="Q45" s="103"/>
      <c r="R45" s="103"/>
    </row>
    <row r="46" spans="1:18" x14ac:dyDescent="0.15">
      <c r="A46" s="115"/>
      <c r="B46" s="127"/>
      <c r="C46" s="117"/>
      <c r="D46" s="117"/>
      <c r="E46" s="117"/>
      <c r="F46" s="117"/>
      <c r="G46" s="117"/>
      <c r="H46" s="44"/>
      <c r="I46" s="44"/>
      <c r="J46" s="118"/>
      <c r="K46" s="37"/>
      <c r="L46" s="112"/>
      <c r="M46" s="112"/>
      <c r="N46" s="103"/>
      <c r="O46" s="103"/>
      <c r="P46" s="103"/>
      <c r="Q46" s="103"/>
      <c r="R46" s="103"/>
    </row>
    <row r="47" spans="1:18" x14ac:dyDescent="0.15">
      <c r="A47" s="115"/>
      <c r="B47" s="127"/>
      <c r="C47" s="117"/>
      <c r="D47" s="117"/>
      <c r="E47" s="117"/>
      <c r="F47" s="117"/>
      <c r="G47" s="117"/>
      <c r="H47" s="44"/>
      <c r="I47" s="44"/>
      <c r="J47" s="118"/>
      <c r="K47" s="37"/>
      <c r="L47" s="113"/>
      <c r="M47" s="113"/>
      <c r="N47" s="103"/>
      <c r="O47" s="103"/>
      <c r="P47" s="103"/>
      <c r="Q47" s="103"/>
      <c r="R47" s="103"/>
    </row>
    <row r="48" spans="1:18" ht="58.5" x14ac:dyDescent="0.15">
      <c r="A48" s="115"/>
      <c r="B48" s="127"/>
      <c r="C48" s="117"/>
      <c r="D48" s="117"/>
      <c r="E48" s="117"/>
      <c r="F48" s="117"/>
      <c r="G48" s="117"/>
      <c r="H48" s="44"/>
      <c r="I48" s="44"/>
      <c r="J48" s="118"/>
      <c r="K48" s="37" t="s">
        <v>37</v>
      </c>
      <c r="L48" s="113" t="s">
        <v>23</v>
      </c>
      <c r="M48" s="113"/>
      <c r="N48" s="103"/>
      <c r="O48" s="103"/>
      <c r="P48" s="103"/>
      <c r="Q48" s="103"/>
      <c r="R48" s="103"/>
    </row>
    <row r="49" spans="1:18" x14ac:dyDescent="0.15">
      <c r="A49" s="115"/>
      <c r="B49" s="127"/>
      <c r="C49" s="117"/>
      <c r="D49" s="117"/>
      <c r="E49" s="117"/>
      <c r="F49" s="117"/>
      <c r="G49" s="117"/>
      <c r="H49" s="44"/>
      <c r="I49" s="44"/>
      <c r="J49" s="118"/>
      <c r="K49" s="37"/>
      <c r="L49" s="113"/>
      <c r="M49" s="113"/>
      <c r="N49" s="103"/>
      <c r="O49" s="103"/>
      <c r="P49" s="103"/>
      <c r="Q49" s="103"/>
      <c r="R49" s="103"/>
    </row>
    <row r="50" spans="1:18" x14ac:dyDescent="0.15">
      <c r="A50" s="115"/>
      <c r="B50" s="127"/>
      <c r="C50" s="117"/>
      <c r="D50" s="117"/>
      <c r="E50" s="117"/>
      <c r="F50" s="117"/>
      <c r="G50" s="117"/>
      <c r="H50" s="44"/>
      <c r="I50" s="44"/>
      <c r="J50" s="118"/>
      <c r="K50" s="37"/>
      <c r="L50" s="112"/>
      <c r="M50" s="112"/>
      <c r="N50" s="103"/>
      <c r="O50" s="103"/>
      <c r="P50" s="103"/>
      <c r="Q50" s="103"/>
      <c r="R50" s="103"/>
    </row>
    <row r="51" spans="1:18" x14ac:dyDescent="0.15">
      <c r="A51" s="115"/>
      <c r="B51" s="127"/>
      <c r="C51" s="117"/>
      <c r="D51" s="117"/>
      <c r="E51" s="117"/>
      <c r="F51" s="117"/>
      <c r="G51" s="117"/>
      <c r="H51" s="44"/>
      <c r="I51" s="44"/>
      <c r="J51" s="118"/>
      <c r="K51" s="37"/>
      <c r="L51" s="114"/>
      <c r="M51" s="114"/>
      <c r="N51" s="103"/>
      <c r="O51" s="103"/>
      <c r="P51" s="103"/>
      <c r="Q51" s="103"/>
      <c r="R51" s="103"/>
    </row>
    <row r="52" spans="1:18" x14ac:dyDescent="0.15">
      <c r="A52" s="115" t="s">
        <v>38</v>
      </c>
      <c r="B52" s="116"/>
      <c r="C52" s="117">
        <v>1</v>
      </c>
      <c r="D52" s="117"/>
      <c r="E52" s="117"/>
      <c r="F52" s="117"/>
      <c r="G52" s="117"/>
      <c r="H52" s="34">
        <f>SUM(C52:G52)</f>
        <v>1</v>
      </c>
      <c r="I52" s="42">
        <v>0.33400000000000002</v>
      </c>
      <c r="J52" s="118">
        <f>H52*I52</f>
        <v>0.33400000000000002</v>
      </c>
      <c r="K52" s="35"/>
      <c r="L52" s="119"/>
      <c r="M52" s="119"/>
      <c r="N52" s="103" t="s">
        <v>185</v>
      </c>
      <c r="O52" s="103"/>
      <c r="P52" s="103"/>
      <c r="Q52" s="103"/>
      <c r="R52" s="103"/>
    </row>
    <row r="53" spans="1:18" x14ac:dyDescent="0.15">
      <c r="A53" s="115"/>
      <c r="B53" s="116"/>
      <c r="C53" s="117"/>
      <c r="D53" s="117"/>
      <c r="E53" s="117"/>
      <c r="F53" s="117"/>
      <c r="G53" s="117"/>
      <c r="H53" s="45"/>
      <c r="I53" s="46"/>
      <c r="J53" s="118"/>
      <c r="K53" s="37"/>
      <c r="L53" s="112"/>
      <c r="M53" s="112"/>
      <c r="N53" s="103"/>
      <c r="O53" s="103"/>
      <c r="P53" s="103"/>
      <c r="Q53" s="103"/>
      <c r="R53" s="103"/>
    </row>
    <row r="54" spans="1:18" x14ac:dyDescent="0.15">
      <c r="A54" s="115"/>
      <c r="B54" s="116"/>
      <c r="C54" s="117"/>
      <c r="D54" s="117"/>
      <c r="E54" s="117"/>
      <c r="F54" s="117"/>
      <c r="G54" s="117"/>
      <c r="H54" s="45"/>
      <c r="I54" s="46"/>
      <c r="J54" s="118"/>
      <c r="K54" s="37"/>
      <c r="L54" s="112"/>
      <c r="M54" s="112"/>
      <c r="N54" s="103"/>
      <c r="O54" s="103"/>
      <c r="P54" s="103"/>
      <c r="Q54" s="103"/>
      <c r="R54" s="103"/>
    </row>
    <row r="55" spans="1:18" ht="27" customHeight="1" x14ac:dyDescent="0.15">
      <c r="A55" s="115"/>
      <c r="B55" s="116"/>
      <c r="C55" s="117"/>
      <c r="D55" s="117"/>
      <c r="E55" s="117"/>
      <c r="F55" s="117"/>
      <c r="G55" s="117"/>
      <c r="H55" s="45"/>
      <c r="I55" s="46"/>
      <c r="J55" s="118"/>
      <c r="K55" s="37" t="s">
        <v>39</v>
      </c>
      <c r="L55" s="113" t="s">
        <v>23</v>
      </c>
      <c r="M55" s="113"/>
      <c r="N55" s="103"/>
      <c r="O55" s="103"/>
      <c r="P55" s="103"/>
      <c r="Q55" s="103"/>
      <c r="R55" s="103"/>
    </row>
    <row r="56" spans="1:18" x14ac:dyDescent="0.15">
      <c r="A56" s="115"/>
      <c r="B56" s="116"/>
      <c r="C56" s="117"/>
      <c r="D56" s="117"/>
      <c r="E56" s="117"/>
      <c r="F56" s="117"/>
      <c r="G56" s="117"/>
      <c r="H56" s="45"/>
      <c r="I56" s="46"/>
      <c r="J56" s="118"/>
      <c r="K56" s="37"/>
      <c r="L56" s="112"/>
      <c r="M56" s="112"/>
      <c r="N56" s="103"/>
      <c r="O56" s="103"/>
      <c r="P56" s="103"/>
      <c r="Q56" s="103"/>
      <c r="R56" s="103"/>
    </row>
    <row r="57" spans="1:18" x14ac:dyDescent="0.15">
      <c r="A57" s="115"/>
      <c r="B57" s="116"/>
      <c r="C57" s="117"/>
      <c r="D57" s="117"/>
      <c r="E57" s="117"/>
      <c r="F57" s="117"/>
      <c r="G57" s="117"/>
      <c r="H57" s="45"/>
      <c r="I57" s="46"/>
      <c r="J57" s="118"/>
      <c r="K57" s="37"/>
      <c r="L57" s="112"/>
      <c r="M57" s="112"/>
      <c r="N57" s="103"/>
      <c r="O57" s="103"/>
      <c r="P57" s="103"/>
      <c r="Q57" s="103"/>
      <c r="R57" s="103"/>
    </row>
    <row r="58" spans="1:18" x14ac:dyDescent="0.15">
      <c r="A58" s="115"/>
      <c r="B58" s="116"/>
      <c r="C58" s="117"/>
      <c r="D58" s="117"/>
      <c r="E58" s="117"/>
      <c r="F58" s="117"/>
      <c r="G58" s="117"/>
      <c r="H58" s="45"/>
      <c r="I58" s="46"/>
      <c r="J58" s="118"/>
      <c r="K58" s="40"/>
      <c r="L58" s="114"/>
      <c r="M58" s="114"/>
      <c r="N58" s="103"/>
      <c r="O58" s="103"/>
      <c r="P58" s="103"/>
      <c r="Q58" s="103"/>
      <c r="R58" s="103"/>
    </row>
    <row r="59" spans="1:18" ht="28.9" customHeight="1" x14ac:dyDescent="0.15">
      <c r="A59" s="126" t="s">
        <v>40</v>
      </c>
      <c r="B59" s="126"/>
      <c r="C59" s="126"/>
      <c r="D59" s="126"/>
      <c r="E59" s="126"/>
      <c r="F59" s="126"/>
      <c r="G59" s="126"/>
      <c r="H59" s="126"/>
      <c r="I59" s="47"/>
      <c r="J59" s="48">
        <f>SUM(J60:J74)</f>
        <v>1</v>
      </c>
      <c r="K59" s="121"/>
      <c r="L59" s="121"/>
      <c r="M59" s="121"/>
      <c r="N59" s="121"/>
      <c r="O59" s="121"/>
      <c r="P59" s="121"/>
      <c r="Q59" s="121"/>
      <c r="R59" s="121"/>
    </row>
    <row r="60" spans="1:18" x14ac:dyDescent="0.15">
      <c r="A60" s="115" t="s">
        <v>41</v>
      </c>
      <c r="B60" s="116"/>
      <c r="C60" s="117">
        <v>1</v>
      </c>
      <c r="D60" s="117"/>
      <c r="E60" s="117"/>
      <c r="F60" s="117"/>
      <c r="G60" s="117"/>
      <c r="H60" s="49">
        <f>SUM(C60:G60)</f>
        <v>1</v>
      </c>
      <c r="I60" s="22">
        <v>0.33300000000000002</v>
      </c>
      <c r="J60" s="118">
        <f>H60*I60</f>
        <v>0.33300000000000002</v>
      </c>
      <c r="K60" s="36"/>
      <c r="L60" s="119"/>
      <c r="M60" s="119"/>
      <c r="N60" s="103"/>
      <c r="O60" s="103"/>
      <c r="P60" s="103"/>
      <c r="Q60" s="103"/>
      <c r="R60" s="103"/>
    </row>
    <row r="61" spans="1:18" x14ac:dyDescent="0.15">
      <c r="A61" s="115"/>
      <c r="B61" s="116"/>
      <c r="C61" s="117"/>
      <c r="D61" s="117"/>
      <c r="E61" s="117"/>
      <c r="F61" s="117"/>
      <c r="G61" s="117"/>
      <c r="H61" s="49"/>
      <c r="I61" s="22"/>
      <c r="J61" s="118"/>
      <c r="K61" s="38"/>
      <c r="L61" s="124"/>
      <c r="M61" s="124"/>
      <c r="N61" s="103"/>
      <c r="O61" s="103"/>
      <c r="P61" s="103"/>
      <c r="Q61" s="103"/>
      <c r="R61" s="103"/>
    </row>
    <row r="62" spans="1:18" ht="12.75" customHeight="1" x14ac:dyDescent="0.15">
      <c r="A62" s="115"/>
      <c r="B62" s="116"/>
      <c r="C62" s="117"/>
      <c r="D62" s="117"/>
      <c r="E62" s="117"/>
      <c r="F62" s="117"/>
      <c r="G62" s="117"/>
      <c r="H62" s="49"/>
      <c r="I62" s="22"/>
      <c r="J62" s="118"/>
      <c r="K62" s="38"/>
      <c r="L62" s="124"/>
      <c r="M62" s="124"/>
      <c r="N62" s="103"/>
      <c r="O62" s="103"/>
      <c r="P62" s="103"/>
      <c r="Q62" s="103"/>
      <c r="R62" s="103"/>
    </row>
    <row r="63" spans="1:18" ht="37.5" customHeight="1" x14ac:dyDescent="0.15">
      <c r="A63" s="115"/>
      <c r="B63" s="116"/>
      <c r="C63" s="117"/>
      <c r="D63" s="117"/>
      <c r="E63" s="117"/>
      <c r="F63" s="117"/>
      <c r="G63" s="117"/>
      <c r="H63" s="49"/>
      <c r="I63" s="22"/>
      <c r="J63" s="118"/>
      <c r="K63" s="38" t="s">
        <v>42</v>
      </c>
      <c r="L63" s="125" t="s">
        <v>23</v>
      </c>
      <c r="M63" s="125"/>
      <c r="N63" s="103"/>
      <c r="O63" s="103"/>
      <c r="P63" s="103"/>
      <c r="Q63" s="103"/>
      <c r="R63" s="103"/>
    </row>
    <row r="64" spans="1:18" x14ac:dyDescent="0.15">
      <c r="A64" s="115"/>
      <c r="B64" s="116"/>
      <c r="C64" s="117"/>
      <c r="D64" s="117"/>
      <c r="E64" s="117"/>
      <c r="F64" s="117"/>
      <c r="G64" s="117"/>
      <c r="H64" s="49"/>
      <c r="I64" s="22"/>
      <c r="J64" s="118"/>
      <c r="K64" s="38"/>
      <c r="L64" s="124"/>
      <c r="M64" s="124"/>
      <c r="N64" s="103"/>
      <c r="O64" s="103"/>
      <c r="P64" s="103"/>
      <c r="Q64" s="103"/>
      <c r="R64" s="103"/>
    </row>
    <row r="65" spans="1:18" x14ac:dyDescent="0.15">
      <c r="A65" s="115"/>
      <c r="B65" s="116"/>
      <c r="C65" s="117"/>
      <c r="D65" s="117"/>
      <c r="E65" s="117"/>
      <c r="F65" s="117"/>
      <c r="G65" s="117"/>
      <c r="H65" s="49"/>
      <c r="I65" s="22"/>
      <c r="J65" s="118"/>
      <c r="K65" s="38"/>
      <c r="L65" s="124"/>
      <c r="M65" s="124"/>
      <c r="N65" s="103"/>
      <c r="O65" s="103"/>
      <c r="P65" s="103"/>
      <c r="Q65" s="103"/>
      <c r="R65" s="103"/>
    </row>
    <row r="66" spans="1:18" x14ac:dyDescent="0.15">
      <c r="A66" s="115"/>
      <c r="B66" s="116"/>
      <c r="C66" s="117"/>
      <c r="D66" s="117"/>
      <c r="E66" s="117"/>
      <c r="F66" s="117"/>
      <c r="G66" s="117"/>
      <c r="H66" s="49"/>
      <c r="I66" s="22"/>
      <c r="J66" s="118"/>
      <c r="K66" s="39"/>
      <c r="L66" s="114"/>
      <c r="M66" s="114"/>
      <c r="N66" s="103"/>
      <c r="O66" s="103"/>
      <c r="P66" s="103"/>
      <c r="Q66" s="103"/>
      <c r="R66" s="103"/>
    </row>
    <row r="67" spans="1:18" x14ac:dyDescent="0.15">
      <c r="A67" s="115" t="s">
        <v>43</v>
      </c>
      <c r="B67" s="116"/>
      <c r="C67" s="117">
        <v>1</v>
      </c>
      <c r="D67" s="117"/>
      <c r="E67" s="117"/>
      <c r="F67" s="117"/>
      <c r="G67" s="117"/>
      <c r="H67" s="34">
        <f>SUM(C67:G67)</f>
        <v>1</v>
      </c>
      <c r="I67" s="22">
        <v>0.33300000000000002</v>
      </c>
      <c r="J67" s="118">
        <f>H67*I67</f>
        <v>0.33300000000000002</v>
      </c>
      <c r="K67" s="37"/>
      <c r="L67" s="119"/>
      <c r="M67" s="119"/>
      <c r="N67" s="103"/>
      <c r="O67" s="103"/>
      <c r="P67" s="103"/>
      <c r="Q67" s="103"/>
      <c r="R67" s="103"/>
    </row>
    <row r="68" spans="1:18" x14ac:dyDescent="0.15">
      <c r="A68" s="115"/>
      <c r="B68" s="116"/>
      <c r="C68" s="117"/>
      <c r="D68" s="117"/>
      <c r="E68" s="117"/>
      <c r="F68" s="117"/>
      <c r="G68" s="117"/>
      <c r="H68" s="34"/>
      <c r="I68" s="22"/>
      <c r="J68" s="118"/>
      <c r="K68" s="37"/>
      <c r="L68" s="112"/>
      <c r="M68" s="112"/>
      <c r="N68" s="103"/>
      <c r="O68" s="103"/>
      <c r="P68" s="103"/>
      <c r="Q68" s="103"/>
      <c r="R68" s="103"/>
    </row>
    <row r="69" spans="1:18" x14ac:dyDescent="0.15">
      <c r="A69" s="115"/>
      <c r="B69" s="116"/>
      <c r="C69" s="117"/>
      <c r="D69" s="117"/>
      <c r="E69" s="117"/>
      <c r="F69" s="117"/>
      <c r="G69" s="117"/>
      <c r="H69" s="34"/>
      <c r="I69" s="22"/>
      <c r="J69" s="118"/>
      <c r="K69" s="37"/>
      <c r="L69" s="112"/>
      <c r="M69" s="112"/>
      <c r="N69" s="103"/>
      <c r="O69" s="103"/>
      <c r="P69" s="103"/>
      <c r="Q69" s="103"/>
      <c r="R69" s="103"/>
    </row>
    <row r="70" spans="1:18" ht="34.5" customHeight="1" x14ac:dyDescent="0.15">
      <c r="A70" s="115"/>
      <c r="B70" s="116"/>
      <c r="C70" s="117"/>
      <c r="D70" s="117"/>
      <c r="E70" s="117"/>
      <c r="F70" s="117"/>
      <c r="G70" s="117"/>
      <c r="H70" s="34"/>
      <c r="I70" s="22"/>
      <c r="J70" s="118"/>
      <c r="K70" s="37" t="s">
        <v>44</v>
      </c>
      <c r="L70" s="113" t="s">
        <v>23</v>
      </c>
      <c r="M70" s="113"/>
      <c r="N70" s="103"/>
      <c r="O70" s="103"/>
      <c r="P70" s="103"/>
      <c r="Q70" s="103"/>
      <c r="R70" s="103"/>
    </row>
    <row r="71" spans="1:18" x14ac:dyDescent="0.15">
      <c r="A71" s="115"/>
      <c r="B71" s="116"/>
      <c r="C71" s="117"/>
      <c r="D71" s="117"/>
      <c r="E71" s="117"/>
      <c r="F71" s="117"/>
      <c r="G71" s="117"/>
      <c r="H71" s="34"/>
      <c r="I71" s="22"/>
      <c r="J71" s="118"/>
      <c r="K71" s="37"/>
      <c r="L71" s="112"/>
      <c r="M71" s="112"/>
      <c r="N71" s="103"/>
      <c r="O71" s="103"/>
      <c r="P71" s="103"/>
      <c r="Q71" s="103"/>
      <c r="R71" s="103"/>
    </row>
    <row r="72" spans="1:18" x14ac:dyDescent="0.15">
      <c r="A72" s="115"/>
      <c r="B72" s="116"/>
      <c r="C72" s="117"/>
      <c r="D72" s="117"/>
      <c r="E72" s="117"/>
      <c r="F72" s="117"/>
      <c r="G72" s="117"/>
      <c r="H72" s="34"/>
      <c r="I72" s="22"/>
      <c r="J72" s="118"/>
      <c r="K72" s="37"/>
      <c r="L72" s="112"/>
      <c r="M72" s="112"/>
      <c r="N72" s="103"/>
      <c r="O72" s="103"/>
      <c r="P72" s="103"/>
      <c r="Q72" s="103"/>
      <c r="R72" s="103"/>
    </row>
    <row r="73" spans="1:18" x14ac:dyDescent="0.15">
      <c r="A73" s="115"/>
      <c r="B73" s="116"/>
      <c r="C73" s="117"/>
      <c r="D73" s="117"/>
      <c r="E73" s="117"/>
      <c r="F73" s="117"/>
      <c r="G73" s="117"/>
      <c r="H73" s="34"/>
      <c r="I73" s="22"/>
      <c r="J73" s="118"/>
      <c r="K73" s="37"/>
      <c r="L73" s="114"/>
      <c r="M73" s="114"/>
      <c r="N73" s="103"/>
      <c r="O73" s="103"/>
      <c r="P73" s="103"/>
      <c r="Q73" s="103"/>
      <c r="R73" s="103"/>
    </row>
    <row r="74" spans="1:18" x14ac:dyDescent="0.15">
      <c r="A74" s="115" t="s">
        <v>45</v>
      </c>
      <c r="B74" s="116"/>
      <c r="C74" s="117">
        <v>1</v>
      </c>
      <c r="D74" s="117"/>
      <c r="E74" s="117"/>
      <c r="F74" s="117"/>
      <c r="G74" s="117"/>
      <c r="H74" s="34">
        <f>SUM(C74:G74)</f>
        <v>1</v>
      </c>
      <c r="I74" s="22">
        <v>0.33400000000000002</v>
      </c>
      <c r="J74" s="118">
        <f>H74*I74</f>
        <v>0.33400000000000002</v>
      </c>
      <c r="K74" s="35"/>
      <c r="L74" s="119"/>
      <c r="M74" s="119"/>
      <c r="N74" s="103"/>
      <c r="O74" s="103"/>
      <c r="P74" s="103"/>
      <c r="Q74" s="103"/>
      <c r="R74" s="103"/>
    </row>
    <row r="75" spans="1:18" x14ac:dyDescent="0.15">
      <c r="A75" s="115"/>
      <c r="B75" s="116"/>
      <c r="C75" s="117"/>
      <c r="D75" s="117"/>
      <c r="E75" s="117"/>
      <c r="F75" s="117"/>
      <c r="G75" s="117"/>
      <c r="H75" s="46"/>
      <c r="I75" s="50"/>
      <c r="J75" s="118"/>
      <c r="K75" s="37"/>
      <c r="L75" s="112"/>
      <c r="M75" s="112"/>
      <c r="N75" s="103"/>
      <c r="O75" s="103"/>
      <c r="P75" s="103"/>
      <c r="Q75" s="103"/>
      <c r="R75" s="103"/>
    </row>
    <row r="76" spans="1:18" x14ac:dyDescent="0.15">
      <c r="A76" s="115"/>
      <c r="B76" s="116"/>
      <c r="C76" s="117"/>
      <c r="D76" s="117"/>
      <c r="E76" s="117"/>
      <c r="F76" s="117"/>
      <c r="G76" s="117"/>
      <c r="H76" s="46"/>
      <c r="I76" s="50"/>
      <c r="J76" s="118"/>
      <c r="K76" s="37"/>
      <c r="L76" s="112"/>
      <c r="M76" s="112"/>
      <c r="N76" s="103"/>
      <c r="O76" s="103"/>
      <c r="P76" s="103"/>
      <c r="Q76" s="103"/>
      <c r="R76" s="103"/>
    </row>
    <row r="77" spans="1:18" ht="48" customHeight="1" x14ac:dyDescent="0.15">
      <c r="A77" s="115"/>
      <c r="B77" s="116"/>
      <c r="C77" s="117"/>
      <c r="D77" s="117"/>
      <c r="E77" s="117"/>
      <c r="F77" s="117"/>
      <c r="G77" s="117"/>
      <c r="H77" s="46"/>
      <c r="I77" s="50"/>
      <c r="J77" s="118"/>
      <c r="K77" s="37" t="s">
        <v>46</v>
      </c>
      <c r="L77" s="113" t="s">
        <v>23</v>
      </c>
      <c r="M77" s="113"/>
      <c r="N77" s="103"/>
      <c r="O77" s="103"/>
      <c r="P77" s="103"/>
      <c r="Q77" s="103"/>
      <c r="R77" s="103"/>
    </row>
    <row r="78" spans="1:18" x14ac:dyDescent="0.15">
      <c r="A78" s="115"/>
      <c r="B78" s="116"/>
      <c r="C78" s="117"/>
      <c r="D78" s="117"/>
      <c r="E78" s="117"/>
      <c r="F78" s="117"/>
      <c r="G78" s="117"/>
      <c r="H78" s="46"/>
      <c r="I78" s="50"/>
      <c r="J78" s="118"/>
      <c r="K78" s="37"/>
      <c r="L78" s="112"/>
      <c r="M78" s="112"/>
      <c r="N78" s="103"/>
      <c r="O78" s="103"/>
      <c r="P78" s="103"/>
      <c r="Q78" s="103"/>
      <c r="R78" s="103"/>
    </row>
    <row r="79" spans="1:18" x14ac:dyDescent="0.15">
      <c r="A79" s="115"/>
      <c r="B79" s="116"/>
      <c r="C79" s="117"/>
      <c r="D79" s="117"/>
      <c r="E79" s="117"/>
      <c r="F79" s="117"/>
      <c r="G79" s="117"/>
      <c r="H79" s="46"/>
      <c r="I79" s="50"/>
      <c r="J79" s="118"/>
      <c r="K79" s="37"/>
      <c r="L79" s="112"/>
      <c r="M79" s="112"/>
      <c r="N79" s="103"/>
      <c r="O79" s="103"/>
      <c r="P79" s="103"/>
      <c r="Q79" s="103"/>
      <c r="R79" s="103"/>
    </row>
    <row r="80" spans="1:18" x14ac:dyDescent="0.15">
      <c r="A80" s="115"/>
      <c r="B80" s="116"/>
      <c r="C80" s="117"/>
      <c r="D80" s="117"/>
      <c r="E80" s="117"/>
      <c r="F80" s="117"/>
      <c r="G80" s="117"/>
      <c r="H80" s="46"/>
      <c r="I80" s="50"/>
      <c r="J80" s="118"/>
      <c r="K80" s="40"/>
      <c r="L80" s="114"/>
      <c r="M80" s="114"/>
      <c r="N80" s="103"/>
      <c r="O80" s="103"/>
      <c r="P80" s="103"/>
      <c r="Q80" s="103"/>
      <c r="R80" s="103"/>
    </row>
    <row r="81" spans="1:18" ht="40.5" customHeight="1" x14ac:dyDescent="0.15">
      <c r="A81" s="122" t="s">
        <v>47</v>
      </c>
      <c r="B81" s="122"/>
      <c r="C81" s="122"/>
      <c r="D81" s="122"/>
      <c r="E81" s="122"/>
      <c r="F81" s="122"/>
      <c r="G81" s="122"/>
      <c r="H81" s="51"/>
      <c r="I81" s="52"/>
      <c r="J81" s="53">
        <f>SUM(J82:J89)</f>
        <v>1</v>
      </c>
      <c r="K81" s="121"/>
      <c r="L81" s="121"/>
      <c r="M81" s="121"/>
      <c r="N81" s="121"/>
      <c r="O81" s="121"/>
      <c r="P81" s="121"/>
      <c r="Q81" s="121"/>
      <c r="R81" s="121"/>
    </row>
    <row r="82" spans="1:18" x14ac:dyDescent="0.15">
      <c r="A82" s="115" t="s">
        <v>48</v>
      </c>
      <c r="B82" s="116"/>
      <c r="C82" s="117">
        <v>1</v>
      </c>
      <c r="D82" s="117"/>
      <c r="E82" s="117"/>
      <c r="F82" s="117"/>
      <c r="G82" s="117"/>
      <c r="H82" s="34">
        <f>SUM(C82:G82)</f>
        <v>1</v>
      </c>
      <c r="I82" s="22">
        <v>0.5</v>
      </c>
      <c r="J82" s="118">
        <f>H82*I82</f>
        <v>0.5</v>
      </c>
      <c r="K82" s="35"/>
      <c r="L82" s="119"/>
      <c r="M82" s="119"/>
      <c r="N82" s="103"/>
      <c r="O82" s="103"/>
      <c r="P82" s="103"/>
      <c r="Q82" s="103"/>
      <c r="R82" s="103"/>
    </row>
    <row r="83" spans="1:18" x14ac:dyDescent="0.15">
      <c r="A83" s="115"/>
      <c r="B83" s="116"/>
      <c r="C83" s="117"/>
      <c r="D83" s="117"/>
      <c r="E83" s="117"/>
      <c r="F83" s="117"/>
      <c r="G83" s="117"/>
      <c r="H83" s="34"/>
      <c r="I83" s="22"/>
      <c r="J83" s="118"/>
      <c r="K83" s="37"/>
      <c r="L83" s="112"/>
      <c r="M83" s="112"/>
      <c r="N83" s="103"/>
      <c r="O83" s="103"/>
      <c r="P83" s="103"/>
      <c r="Q83" s="103"/>
      <c r="R83" s="103"/>
    </row>
    <row r="84" spans="1:18" x14ac:dyDescent="0.15">
      <c r="A84" s="115"/>
      <c r="B84" s="116"/>
      <c r="C84" s="117"/>
      <c r="D84" s="117"/>
      <c r="E84" s="117"/>
      <c r="F84" s="117"/>
      <c r="G84" s="117"/>
      <c r="H84" s="34"/>
      <c r="I84" s="22"/>
      <c r="J84" s="118"/>
      <c r="K84" s="37"/>
      <c r="L84" s="112"/>
      <c r="M84" s="112"/>
      <c r="N84" s="103"/>
      <c r="O84" s="103"/>
      <c r="P84" s="103"/>
      <c r="Q84" s="103"/>
      <c r="R84" s="103"/>
    </row>
    <row r="85" spans="1:18" ht="34.5" customHeight="1" x14ac:dyDescent="0.15">
      <c r="A85" s="115"/>
      <c r="B85" s="116"/>
      <c r="C85" s="117"/>
      <c r="D85" s="117"/>
      <c r="E85" s="117"/>
      <c r="F85" s="117"/>
      <c r="G85" s="117"/>
      <c r="H85" s="34"/>
      <c r="I85" s="22"/>
      <c r="J85" s="118"/>
      <c r="K85" s="37" t="s">
        <v>49</v>
      </c>
      <c r="L85" s="113" t="s">
        <v>23</v>
      </c>
      <c r="M85" s="113"/>
      <c r="N85" s="103"/>
      <c r="O85" s="103"/>
      <c r="P85" s="103"/>
      <c r="Q85" s="103"/>
      <c r="R85" s="103"/>
    </row>
    <row r="86" spans="1:18" x14ac:dyDescent="0.15">
      <c r="A86" s="115"/>
      <c r="B86" s="116"/>
      <c r="C86" s="117"/>
      <c r="D86" s="117"/>
      <c r="E86" s="117"/>
      <c r="F86" s="117"/>
      <c r="G86" s="117"/>
      <c r="H86" s="34"/>
      <c r="I86" s="22"/>
      <c r="J86" s="118"/>
      <c r="K86" s="37"/>
      <c r="L86" s="112"/>
      <c r="M86" s="112"/>
      <c r="N86" s="103"/>
      <c r="O86" s="103"/>
      <c r="P86" s="103"/>
      <c r="Q86" s="103"/>
      <c r="R86" s="103"/>
    </row>
    <row r="87" spans="1:18" x14ac:dyDescent="0.15">
      <c r="A87" s="115"/>
      <c r="B87" s="116"/>
      <c r="C87" s="117"/>
      <c r="D87" s="117"/>
      <c r="E87" s="117"/>
      <c r="F87" s="117"/>
      <c r="G87" s="117"/>
      <c r="H87" s="34"/>
      <c r="I87" s="22"/>
      <c r="J87" s="118"/>
      <c r="K87" s="37"/>
      <c r="L87" s="112"/>
      <c r="M87" s="112"/>
      <c r="N87" s="103"/>
      <c r="O87" s="103"/>
      <c r="P87" s="103"/>
      <c r="Q87" s="103"/>
      <c r="R87" s="103"/>
    </row>
    <row r="88" spans="1:18" ht="75" customHeight="1" x14ac:dyDescent="0.15">
      <c r="A88" s="115"/>
      <c r="B88" s="116"/>
      <c r="C88" s="117"/>
      <c r="D88" s="117"/>
      <c r="E88" s="117"/>
      <c r="F88" s="117"/>
      <c r="G88" s="117"/>
      <c r="H88" s="34"/>
      <c r="I88" s="22"/>
      <c r="J88" s="118"/>
      <c r="K88" s="37"/>
      <c r="L88" s="114"/>
      <c r="M88" s="114"/>
      <c r="N88" s="103"/>
      <c r="O88" s="103"/>
      <c r="P88" s="103"/>
      <c r="Q88" s="103"/>
      <c r="R88" s="103"/>
    </row>
    <row r="89" spans="1:18" x14ac:dyDescent="0.15">
      <c r="A89" s="115" t="s">
        <v>50</v>
      </c>
      <c r="B89" s="116"/>
      <c r="C89" s="123">
        <v>1</v>
      </c>
      <c r="D89" s="123"/>
      <c r="E89" s="123"/>
      <c r="F89" s="123"/>
      <c r="G89" s="123"/>
      <c r="H89" s="22">
        <f>SUM(C89:G89)</f>
        <v>1</v>
      </c>
      <c r="I89" s="22">
        <v>0.5</v>
      </c>
      <c r="J89" s="118">
        <f>H89*I89</f>
        <v>0.5</v>
      </c>
      <c r="K89" s="35"/>
      <c r="L89" s="119"/>
      <c r="M89" s="119"/>
      <c r="N89" s="103"/>
      <c r="O89" s="103"/>
      <c r="P89" s="103"/>
      <c r="Q89" s="103"/>
      <c r="R89" s="103"/>
    </row>
    <row r="90" spans="1:18" x14ac:dyDescent="0.15">
      <c r="A90" s="115"/>
      <c r="B90" s="116"/>
      <c r="C90" s="123"/>
      <c r="D90" s="123"/>
      <c r="E90" s="123"/>
      <c r="F90" s="123"/>
      <c r="G90" s="123"/>
      <c r="H90" s="34"/>
      <c r="I90" s="50"/>
      <c r="J90" s="118"/>
      <c r="K90" s="37"/>
      <c r="L90" s="112"/>
      <c r="M90" s="112"/>
      <c r="N90" s="103"/>
      <c r="O90" s="103"/>
      <c r="P90" s="103"/>
      <c r="Q90" s="103"/>
      <c r="R90" s="103"/>
    </row>
    <row r="91" spans="1:18" x14ac:dyDescent="0.15">
      <c r="A91" s="115"/>
      <c r="B91" s="116"/>
      <c r="C91" s="123"/>
      <c r="D91" s="123"/>
      <c r="E91" s="123"/>
      <c r="F91" s="123"/>
      <c r="G91" s="123"/>
      <c r="H91" s="34"/>
      <c r="I91" s="50"/>
      <c r="J91" s="118"/>
      <c r="K91" s="37"/>
      <c r="L91" s="112"/>
      <c r="M91" s="112"/>
      <c r="N91" s="103"/>
      <c r="O91" s="103"/>
      <c r="P91" s="103"/>
      <c r="Q91" s="103"/>
      <c r="R91" s="103"/>
    </row>
    <row r="92" spans="1:18" ht="33" customHeight="1" x14ac:dyDescent="0.15">
      <c r="A92" s="115"/>
      <c r="B92" s="116"/>
      <c r="C92" s="123"/>
      <c r="D92" s="123"/>
      <c r="E92" s="123"/>
      <c r="F92" s="123"/>
      <c r="G92" s="123"/>
      <c r="H92" s="34"/>
      <c r="I92" s="50"/>
      <c r="J92" s="118"/>
      <c r="K92" s="37" t="s">
        <v>51</v>
      </c>
      <c r="L92" s="113" t="s">
        <v>23</v>
      </c>
      <c r="M92" s="113"/>
      <c r="N92" s="103"/>
      <c r="O92" s="103"/>
      <c r="P92" s="103"/>
      <c r="Q92" s="103"/>
      <c r="R92" s="103"/>
    </row>
    <row r="93" spans="1:18" x14ac:dyDescent="0.15">
      <c r="A93" s="115"/>
      <c r="B93" s="116"/>
      <c r="C93" s="123"/>
      <c r="D93" s="123"/>
      <c r="E93" s="123"/>
      <c r="F93" s="123"/>
      <c r="G93" s="123"/>
      <c r="H93" s="34"/>
      <c r="I93" s="50"/>
      <c r="J93" s="118"/>
      <c r="K93" s="37"/>
      <c r="L93" s="112"/>
      <c r="M93" s="112"/>
      <c r="N93" s="103"/>
      <c r="O93" s="103"/>
      <c r="P93" s="103"/>
      <c r="Q93" s="103"/>
      <c r="R93" s="103"/>
    </row>
    <row r="94" spans="1:18" x14ac:dyDescent="0.15">
      <c r="A94" s="115"/>
      <c r="B94" s="116"/>
      <c r="C94" s="123"/>
      <c r="D94" s="123"/>
      <c r="E94" s="123"/>
      <c r="F94" s="123"/>
      <c r="G94" s="123"/>
      <c r="H94" s="34"/>
      <c r="I94" s="50"/>
      <c r="J94" s="118"/>
      <c r="K94" s="37"/>
      <c r="L94" s="112"/>
      <c r="M94" s="112"/>
      <c r="N94" s="103"/>
      <c r="O94" s="103"/>
      <c r="P94" s="103"/>
      <c r="Q94" s="103"/>
      <c r="R94" s="103"/>
    </row>
    <row r="95" spans="1:18" ht="78" customHeight="1" x14ac:dyDescent="0.15">
      <c r="A95" s="115"/>
      <c r="B95" s="116"/>
      <c r="C95" s="123"/>
      <c r="D95" s="123"/>
      <c r="E95" s="123"/>
      <c r="F95" s="123"/>
      <c r="G95" s="123"/>
      <c r="H95" s="34"/>
      <c r="I95" s="50"/>
      <c r="J95" s="118"/>
      <c r="K95" s="40"/>
      <c r="L95" s="114"/>
      <c r="M95" s="114"/>
      <c r="N95" s="103"/>
      <c r="O95" s="103"/>
      <c r="P95" s="103"/>
      <c r="Q95" s="103"/>
      <c r="R95" s="103"/>
    </row>
    <row r="96" spans="1:18" x14ac:dyDescent="0.15">
      <c r="A96" s="120" t="s">
        <v>52</v>
      </c>
      <c r="B96" s="120"/>
      <c r="C96" s="120"/>
      <c r="D96" s="120"/>
      <c r="E96" s="120"/>
      <c r="F96" s="120"/>
      <c r="G96" s="120"/>
      <c r="H96" s="120"/>
      <c r="I96" s="52"/>
      <c r="J96" s="33">
        <f>SUM(J97:J104)</f>
        <v>1</v>
      </c>
      <c r="K96" s="121"/>
      <c r="L96" s="121"/>
      <c r="M96" s="121"/>
      <c r="N96" s="121"/>
      <c r="O96" s="121"/>
      <c r="P96" s="121"/>
      <c r="Q96" s="121"/>
      <c r="R96" s="121"/>
    </row>
    <row r="97" spans="1:18" x14ac:dyDescent="0.15">
      <c r="A97" s="115" t="s">
        <v>53</v>
      </c>
      <c r="B97" s="116"/>
      <c r="C97" s="117">
        <v>1</v>
      </c>
      <c r="D97" s="117"/>
      <c r="E97" s="117"/>
      <c r="F97" s="117"/>
      <c r="G97" s="117"/>
      <c r="H97" s="22">
        <f>SUM(C97:G97)</f>
        <v>1</v>
      </c>
      <c r="I97" s="22">
        <v>0.5</v>
      </c>
      <c r="J97" s="118">
        <f>H97*I97</f>
        <v>0.5</v>
      </c>
      <c r="K97" s="35"/>
      <c r="L97" s="119"/>
      <c r="M97" s="119"/>
      <c r="N97" s="103"/>
      <c r="O97" s="103"/>
      <c r="P97" s="103"/>
      <c r="Q97" s="103"/>
      <c r="R97" s="103"/>
    </row>
    <row r="98" spans="1:18" ht="16.5" customHeight="1" x14ac:dyDescent="0.15">
      <c r="A98" s="115"/>
      <c r="B98" s="116"/>
      <c r="C98" s="117"/>
      <c r="D98" s="117"/>
      <c r="E98" s="117"/>
      <c r="F98" s="117"/>
      <c r="G98" s="117"/>
      <c r="H98" s="22"/>
      <c r="I98" s="22"/>
      <c r="J98" s="118"/>
      <c r="K98" s="37"/>
      <c r="L98" s="112"/>
      <c r="M98" s="112"/>
      <c r="N98" s="103"/>
      <c r="O98" s="103"/>
      <c r="P98" s="103"/>
      <c r="Q98" s="103"/>
      <c r="R98" s="103"/>
    </row>
    <row r="99" spans="1:18" ht="16.5" customHeight="1" x14ac:dyDescent="0.15">
      <c r="A99" s="115"/>
      <c r="B99" s="116"/>
      <c r="C99" s="117"/>
      <c r="D99" s="117"/>
      <c r="E99" s="117"/>
      <c r="F99" s="117"/>
      <c r="G99" s="117"/>
      <c r="H99" s="22"/>
      <c r="I99" s="22"/>
      <c r="J99" s="118"/>
      <c r="K99" s="37"/>
      <c r="L99" s="113"/>
      <c r="M99" s="113"/>
      <c r="N99" s="103"/>
      <c r="O99" s="103"/>
      <c r="P99" s="103"/>
      <c r="Q99" s="103"/>
      <c r="R99" s="103"/>
    </row>
    <row r="100" spans="1:18" ht="36" customHeight="1" x14ac:dyDescent="0.15">
      <c r="A100" s="115"/>
      <c r="B100" s="116"/>
      <c r="C100" s="117"/>
      <c r="D100" s="117"/>
      <c r="E100" s="117"/>
      <c r="F100" s="117"/>
      <c r="G100" s="117"/>
      <c r="H100" s="22"/>
      <c r="I100" s="22"/>
      <c r="J100" s="118"/>
      <c r="K100" s="37" t="s">
        <v>54</v>
      </c>
      <c r="L100" s="113" t="s">
        <v>23</v>
      </c>
      <c r="M100" s="113"/>
      <c r="N100" s="103"/>
      <c r="O100" s="103"/>
      <c r="P100" s="103"/>
      <c r="Q100" s="103"/>
      <c r="R100" s="103"/>
    </row>
    <row r="101" spans="1:18" ht="46.5" x14ac:dyDescent="0.15">
      <c r="A101" s="115"/>
      <c r="B101" s="116"/>
      <c r="C101" s="117"/>
      <c r="D101" s="117"/>
      <c r="E101" s="117"/>
      <c r="F101" s="117"/>
      <c r="G101" s="117"/>
      <c r="H101" s="22"/>
      <c r="I101" s="22"/>
      <c r="J101" s="118"/>
      <c r="K101" s="37" t="s">
        <v>148</v>
      </c>
      <c r="L101" s="112" t="s">
        <v>23</v>
      </c>
      <c r="M101" s="112"/>
      <c r="N101" s="103"/>
      <c r="O101" s="103"/>
      <c r="P101" s="103"/>
      <c r="Q101" s="103"/>
      <c r="R101" s="103"/>
    </row>
    <row r="102" spans="1:18" x14ac:dyDescent="0.15">
      <c r="A102" s="115"/>
      <c r="B102" s="116"/>
      <c r="C102" s="117"/>
      <c r="D102" s="117"/>
      <c r="E102" s="117"/>
      <c r="F102" s="117"/>
      <c r="G102" s="117"/>
      <c r="H102" s="22"/>
      <c r="I102" s="22"/>
      <c r="J102" s="118"/>
      <c r="K102" s="37"/>
      <c r="L102" s="112"/>
      <c r="M102" s="112"/>
      <c r="N102" s="103"/>
      <c r="O102" s="103"/>
      <c r="P102" s="103"/>
      <c r="Q102" s="103"/>
      <c r="R102" s="103"/>
    </row>
    <row r="103" spans="1:18" x14ac:dyDescent="0.15">
      <c r="A103" s="115"/>
      <c r="B103" s="116"/>
      <c r="C103" s="117"/>
      <c r="D103" s="117"/>
      <c r="E103" s="117"/>
      <c r="F103" s="117"/>
      <c r="G103" s="117"/>
      <c r="H103" s="22"/>
      <c r="I103" s="22"/>
      <c r="J103" s="118"/>
      <c r="K103" s="37"/>
      <c r="L103" s="114"/>
      <c r="M103" s="114"/>
      <c r="N103" s="103"/>
      <c r="O103" s="103"/>
      <c r="P103" s="103"/>
      <c r="Q103" s="103"/>
      <c r="R103" s="103"/>
    </row>
    <row r="104" spans="1:18" ht="18" customHeight="1" x14ac:dyDescent="0.15">
      <c r="A104" s="115" t="s">
        <v>55</v>
      </c>
      <c r="B104" s="116"/>
      <c r="C104" s="117">
        <v>1</v>
      </c>
      <c r="D104" s="117"/>
      <c r="E104" s="117"/>
      <c r="F104" s="117"/>
      <c r="G104" s="117"/>
      <c r="H104" s="34">
        <f>SUM(C104:G104)</f>
        <v>1</v>
      </c>
      <c r="I104" s="42">
        <v>0.5</v>
      </c>
      <c r="J104" s="118">
        <f>H104*I104</f>
        <v>0.5</v>
      </c>
      <c r="K104" s="35"/>
      <c r="L104" s="119"/>
      <c r="M104" s="119"/>
      <c r="N104" s="103" t="s">
        <v>56</v>
      </c>
      <c r="O104" s="103"/>
      <c r="P104" s="103"/>
      <c r="Q104" s="103"/>
      <c r="R104" s="103"/>
    </row>
    <row r="105" spans="1:18" x14ac:dyDescent="0.15">
      <c r="A105" s="115"/>
      <c r="B105" s="116"/>
      <c r="C105" s="117"/>
      <c r="D105" s="117"/>
      <c r="E105" s="117"/>
      <c r="F105" s="117"/>
      <c r="G105" s="117"/>
      <c r="H105" s="54"/>
      <c r="I105" s="54"/>
      <c r="J105" s="118"/>
      <c r="K105" s="37"/>
      <c r="L105" s="112"/>
      <c r="M105" s="112"/>
      <c r="N105" s="103"/>
      <c r="O105" s="103"/>
      <c r="P105" s="103"/>
      <c r="Q105" s="103"/>
      <c r="R105" s="103"/>
    </row>
    <row r="106" spans="1:18" x14ac:dyDescent="0.15">
      <c r="A106" s="115"/>
      <c r="B106" s="116"/>
      <c r="C106" s="117"/>
      <c r="D106" s="117"/>
      <c r="E106" s="117"/>
      <c r="F106" s="117"/>
      <c r="G106" s="117"/>
      <c r="H106" s="54"/>
      <c r="I106" s="54"/>
      <c r="J106" s="118"/>
      <c r="K106" s="37"/>
      <c r="L106" s="112"/>
      <c r="M106" s="112"/>
      <c r="N106" s="103"/>
      <c r="O106" s="103"/>
      <c r="P106" s="103"/>
      <c r="Q106" s="103"/>
      <c r="R106" s="103"/>
    </row>
    <row r="107" spans="1:18" ht="37.5" customHeight="1" x14ac:dyDescent="0.15">
      <c r="A107" s="115"/>
      <c r="B107" s="116"/>
      <c r="C107" s="117"/>
      <c r="D107" s="117"/>
      <c r="E107" s="117"/>
      <c r="F107" s="117"/>
      <c r="G107" s="117"/>
      <c r="H107" s="54"/>
      <c r="I107" s="54"/>
      <c r="J107" s="118"/>
      <c r="K107" s="37" t="s">
        <v>57</v>
      </c>
      <c r="L107" s="113" t="s">
        <v>23</v>
      </c>
      <c r="M107" s="113"/>
      <c r="N107" s="103"/>
      <c r="O107" s="103"/>
      <c r="P107" s="103"/>
      <c r="Q107" s="103"/>
      <c r="R107" s="103"/>
    </row>
    <row r="108" spans="1:18" x14ac:dyDescent="0.15">
      <c r="A108" s="115"/>
      <c r="B108" s="116"/>
      <c r="C108" s="117"/>
      <c r="D108" s="117"/>
      <c r="E108" s="117"/>
      <c r="F108" s="117"/>
      <c r="G108" s="117"/>
      <c r="H108" s="54"/>
      <c r="I108" s="54"/>
      <c r="J108" s="118"/>
      <c r="K108" s="37"/>
      <c r="L108" s="112"/>
      <c r="M108" s="112"/>
      <c r="N108" s="103"/>
      <c r="O108" s="103"/>
      <c r="P108" s="103"/>
      <c r="Q108" s="103"/>
      <c r="R108" s="103"/>
    </row>
    <row r="109" spans="1:18" x14ac:dyDescent="0.15">
      <c r="A109" s="115"/>
      <c r="B109" s="116"/>
      <c r="C109" s="117"/>
      <c r="D109" s="117"/>
      <c r="E109" s="117"/>
      <c r="F109" s="117"/>
      <c r="G109" s="117"/>
      <c r="H109" s="54"/>
      <c r="I109" s="54"/>
      <c r="J109" s="118"/>
      <c r="K109" s="37"/>
      <c r="L109" s="112"/>
      <c r="M109" s="112"/>
      <c r="N109" s="103"/>
      <c r="O109" s="103"/>
      <c r="P109" s="103"/>
      <c r="Q109" s="103"/>
      <c r="R109" s="103"/>
    </row>
    <row r="110" spans="1:18" ht="12" customHeight="1" x14ac:dyDescent="0.15">
      <c r="A110" s="115"/>
      <c r="B110" s="116"/>
      <c r="C110" s="117"/>
      <c r="D110" s="117"/>
      <c r="E110" s="117"/>
      <c r="F110" s="117"/>
      <c r="G110" s="117"/>
      <c r="H110" s="54"/>
      <c r="I110" s="54"/>
      <c r="J110" s="118"/>
      <c r="K110" s="40"/>
      <c r="L110" s="114"/>
      <c r="M110" s="114"/>
      <c r="N110" s="103"/>
      <c r="O110" s="103"/>
      <c r="P110" s="103"/>
      <c r="Q110" s="103"/>
      <c r="R110" s="103"/>
    </row>
    <row r="111" spans="1:18" ht="45" customHeight="1" x14ac:dyDescent="0.15">
      <c r="A111" s="110" t="s">
        <v>58</v>
      </c>
      <c r="B111" s="110"/>
      <c r="C111" s="110"/>
      <c r="D111" s="110"/>
      <c r="E111" s="110"/>
      <c r="F111" s="110"/>
      <c r="G111" s="110"/>
      <c r="H111" s="110"/>
      <c r="I111" s="110"/>
      <c r="J111" s="55">
        <f>((SUM(J3,J22,J37,J81,J96, J59))/6)</f>
        <v>1</v>
      </c>
      <c r="K111" s="56" t="s">
        <v>59</v>
      </c>
      <c r="L111" s="57">
        <f>SUM(B104+B97+B89+B82+B74+B67+B60+B52+B45+B38+B30+B23+B16+B10+B4)</f>
        <v>0</v>
      </c>
      <c r="N111" s="111" t="s">
        <v>60</v>
      </c>
      <c r="O111" s="111"/>
      <c r="P111" s="111"/>
      <c r="Q111" s="111"/>
      <c r="R111" s="111"/>
    </row>
  </sheetData>
  <mergeCells count="196">
    <mergeCell ref="B1:G1"/>
    <mergeCell ref="J1:R1"/>
    <mergeCell ref="C2:G2"/>
    <mergeCell ref="L2:M2"/>
    <mergeCell ref="N2:R2"/>
    <mergeCell ref="A3:H3"/>
    <mergeCell ref="K3:R3"/>
    <mergeCell ref="L20:M20"/>
    <mergeCell ref="N10:R15"/>
    <mergeCell ref="L11:M11"/>
    <mergeCell ref="L12:M12"/>
    <mergeCell ref="L13:M13"/>
    <mergeCell ref="L14:M14"/>
    <mergeCell ref="L15:M15"/>
    <mergeCell ref="L9:M9"/>
    <mergeCell ref="A10:A15"/>
    <mergeCell ref="B10:B15"/>
    <mergeCell ref="C10:G15"/>
    <mergeCell ref="J10:J15"/>
    <mergeCell ref="L10:M10"/>
    <mergeCell ref="A4:A9"/>
    <mergeCell ref="B4:B9"/>
    <mergeCell ref="C4:G9"/>
    <mergeCell ref="J4:J9"/>
    <mergeCell ref="L4:M4"/>
    <mergeCell ref="N4:R9"/>
    <mergeCell ref="L5:M5"/>
    <mergeCell ref="L6:M6"/>
    <mergeCell ref="L7:M7"/>
    <mergeCell ref="L8:M8"/>
    <mergeCell ref="A30:A36"/>
    <mergeCell ref="B30:B36"/>
    <mergeCell ref="C30:G36"/>
    <mergeCell ref="J30:J36"/>
    <mergeCell ref="L30:M30"/>
    <mergeCell ref="L21:M21"/>
    <mergeCell ref="A22:G22"/>
    <mergeCell ref="K22:R22"/>
    <mergeCell ref="A23:A29"/>
    <mergeCell ref="B23:B29"/>
    <mergeCell ref="C23:G29"/>
    <mergeCell ref="J23:J29"/>
    <mergeCell ref="L23:M23"/>
    <mergeCell ref="N23:R29"/>
    <mergeCell ref="L24:M24"/>
    <mergeCell ref="A16:A21"/>
    <mergeCell ref="B16:B21"/>
    <mergeCell ref="C16:G21"/>
    <mergeCell ref="J16:J21"/>
    <mergeCell ref="L16:M16"/>
    <mergeCell ref="N16:R21"/>
    <mergeCell ref="L17:M17"/>
    <mergeCell ref="L18:M18"/>
    <mergeCell ref="L19:M19"/>
    <mergeCell ref="N30:R36"/>
    <mergeCell ref="L31:M31"/>
    <mergeCell ref="L32:M32"/>
    <mergeCell ref="L33:M33"/>
    <mergeCell ref="L34:M34"/>
    <mergeCell ref="L35:M35"/>
    <mergeCell ref="L36:M36"/>
    <mergeCell ref="L25:M25"/>
    <mergeCell ref="L26:M26"/>
    <mergeCell ref="L27:M27"/>
    <mergeCell ref="L28:M28"/>
    <mergeCell ref="L29:M29"/>
    <mergeCell ref="A37:G37"/>
    <mergeCell ref="K37:R37"/>
    <mergeCell ref="A38:A44"/>
    <mergeCell ref="B38:B44"/>
    <mergeCell ref="C38:G44"/>
    <mergeCell ref="J38:J44"/>
    <mergeCell ref="L38:M38"/>
    <mergeCell ref="N38:R44"/>
    <mergeCell ref="L39:M39"/>
    <mergeCell ref="L40:M40"/>
    <mergeCell ref="L41:M41"/>
    <mergeCell ref="L42:M42"/>
    <mergeCell ref="L43:M43"/>
    <mergeCell ref="L44:M44"/>
    <mergeCell ref="A45:A51"/>
    <mergeCell ref="B45:B51"/>
    <mergeCell ref="C45:G51"/>
    <mergeCell ref="J45:J51"/>
    <mergeCell ref="L45:M45"/>
    <mergeCell ref="L55:M55"/>
    <mergeCell ref="L56:M56"/>
    <mergeCell ref="N45:R51"/>
    <mergeCell ref="L46:M46"/>
    <mergeCell ref="L47:M47"/>
    <mergeCell ref="L48:M48"/>
    <mergeCell ref="L49:M49"/>
    <mergeCell ref="L50:M50"/>
    <mergeCell ref="L51:M51"/>
    <mergeCell ref="L61:M61"/>
    <mergeCell ref="L62:M62"/>
    <mergeCell ref="L63:M63"/>
    <mergeCell ref="L64:M64"/>
    <mergeCell ref="L65:M65"/>
    <mergeCell ref="L66:M66"/>
    <mergeCell ref="L57:M57"/>
    <mergeCell ref="L58:M58"/>
    <mergeCell ref="A59:H59"/>
    <mergeCell ref="K59:R59"/>
    <mergeCell ref="A60:A66"/>
    <mergeCell ref="B60:B66"/>
    <mergeCell ref="C60:G66"/>
    <mergeCell ref="J60:J66"/>
    <mergeCell ref="L60:M60"/>
    <mergeCell ref="N60:R66"/>
    <mergeCell ref="A52:A58"/>
    <mergeCell ref="B52:B58"/>
    <mergeCell ref="C52:G58"/>
    <mergeCell ref="J52:J58"/>
    <mergeCell ref="L52:M52"/>
    <mergeCell ref="N52:R58"/>
    <mergeCell ref="L53:M53"/>
    <mergeCell ref="L54:M54"/>
    <mergeCell ref="A74:A80"/>
    <mergeCell ref="B74:B80"/>
    <mergeCell ref="C74:G80"/>
    <mergeCell ref="J74:J80"/>
    <mergeCell ref="L74:M74"/>
    <mergeCell ref="A67:A73"/>
    <mergeCell ref="B67:B73"/>
    <mergeCell ref="C67:G73"/>
    <mergeCell ref="J67:J73"/>
    <mergeCell ref="L67:M67"/>
    <mergeCell ref="L68:M68"/>
    <mergeCell ref="L69:M69"/>
    <mergeCell ref="L70:M70"/>
    <mergeCell ref="L71:M71"/>
    <mergeCell ref="N74:R80"/>
    <mergeCell ref="L75:M75"/>
    <mergeCell ref="L76:M76"/>
    <mergeCell ref="L77:M77"/>
    <mergeCell ref="L78:M78"/>
    <mergeCell ref="L79:M79"/>
    <mergeCell ref="L80:M80"/>
    <mergeCell ref="L72:M72"/>
    <mergeCell ref="L73:M73"/>
    <mergeCell ref="N67:R73"/>
    <mergeCell ref="L94:M94"/>
    <mergeCell ref="L95:M95"/>
    <mergeCell ref="L85:M85"/>
    <mergeCell ref="L86:M86"/>
    <mergeCell ref="A89:A95"/>
    <mergeCell ref="B89:B95"/>
    <mergeCell ref="C89:G95"/>
    <mergeCell ref="J89:J95"/>
    <mergeCell ref="L89:M89"/>
    <mergeCell ref="A81:G81"/>
    <mergeCell ref="K81:R81"/>
    <mergeCell ref="A82:A88"/>
    <mergeCell ref="B82:B88"/>
    <mergeCell ref="C82:G88"/>
    <mergeCell ref="J82:J88"/>
    <mergeCell ref="L82:M82"/>
    <mergeCell ref="N82:R88"/>
    <mergeCell ref="L83:M83"/>
    <mergeCell ref="L84:M84"/>
    <mergeCell ref="L87:M87"/>
    <mergeCell ref="L88:M88"/>
    <mergeCell ref="N89:R95"/>
    <mergeCell ref="L90:M90"/>
    <mergeCell ref="L91:M91"/>
    <mergeCell ref="A104:A110"/>
    <mergeCell ref="B104:B110"/>
    <mergeCell ref="C104:G110"/>
    <mergeCell ref="J104:J110"/>
    <mergeCell ref="L104:M104"/>
    <mergeCell ref="A96:H96"/>
    <mergeCell ref="K96:R96"/>
    <mergeCell ref="A97:A103"/>
    <mergeCell ref="B97:B103"/>
    <mergeCell ref="C97:G103"/>
    <mergeCell ref="J97:J103"/>
    <mergeCell ref="L97:M97"/>
    <mergeCell ref="N97:R103"/>
    <mergeCell ref="L98:M98"/>
    <mergeCell ref="L99:M99"/>
    <mergeCell ref="L100:M100"/>
    <mergeCell ref="L101:M101"/>
    <mergeCell ref="L102:M102"/>
    <mergeCell ref="L103:M103"/>
    <mergeCell ref="L92:M92"/>
    <mergeCell ref="L93:M93"/>
    <mergeCell ref="A111:I111"/>
    <mergeCell ref="N111:R111"/>
    <mergeCell ref="N104:R110"/>
    <mergeCell ref="L105:M105"/>
    <mergeCell ref="L106:M106"/>
    <mergeCell ref="L107:M107"/>
    <mergeCell ref="L108:M108"/>
    <mergeCell ref="L109:M109"/>
    <mergeCell ref="L110:M110"/>
  </mergeCells>
  <pageMargins left="0.19685039370078702" right="0.11811023622047202" top="1.181102362204725" bottom="0.70866141732283405" header="0.23622047244094502" footer="0.511811023622047"/>
  <pageSetup paperSize="9" scale="92" fitToWidth="0" fitToHeight="0" orientation="landscape" useFirstPageNumber="1" horizontalDpi="90" verticalDpi="90" r:id="rId1"/>
  <headerFooter alignWithMargins="0">
    <oddHeader>&amp;L&amp;G&amp;C&amp;14AUDIT 
LES BONNES PRATIQUES D'HYGIENE&amp;R&amp;12Anne SUQUET
anne@alexann.fr
06 46 45 67 33</oddHeader>
    <oddFooter>&amp;C&amp;P/&amp;N</oddFooter>
  </headerFooter>
  <rowBreaks count="5" manualBreakCount="5">
    <brk id="21" max="16383" man="1"/>
    <brk id="36" max="16383" man="1"/>
    <brk id="58" max="16383" man="1"/>
    <brk id="80" max="16383" man="1"/>
    <brk id="95" max="16383" man="1"/>
  </rowBreaks>
  <legacyDrawing r:id="rId2"/>
  <legacyDrawingHF r:id="rId3"/>
  <extLst>
    <ext xmlns:x14="http://schemas.microsoft.com/office/spreadsheetml/2009/9/main" uri="{CCE6A557-97BC-4b89-ADB6-D9C93CAAB3DF}">
      <x14:dataValidations xmlns:xm="http://schemas.microsoft.com/office/excel/2006/main" count="30">
        <x14:dataValidation type="list" allowBlank="1" showInputMessage="1" xr:uid="{5F0368E1-D9DF-420E-9067-C4D3AF3CF0CA}">
          <x14:formula1>
            <xm:f>Listes_défilantes!$C$2:$C$6</xm:f>
          </x14:formula1>
          <xm:sqref>L4:L9</xm:sqref>
        </x14:dataValidation>
        <x14:dataValidation type="list" allowBlank="1" showInputMessage="1" xr:uid="{63EA5B6A-34B0-4FB7-B9D6-C6635D87FF75}">
          <x14:formula1>
            <xm:f>Listes_défilantes!$C$57:$C$64</xm:f>
          </x14:formula1>
          <xm:sqref>L45:L51</xm:sqref>
        </x14:dataValidation>
        <x14:dataValidation type="list" allowBlank="1" showInputMessage="1" xr:uid="{4010518C-D1F8-4B2A-88C4-708C5BB90F14}">
          <x14:formula1>
            <xm:f>Listes_défilantes!$B$66:$B$69</xm:f>
          </x14:formula1>
          <xm:sqref>K52:K58</xm:sqref>
        </x14:dataValidation>
        <x14:dataValidation type="list" allowBlank="1" showInputMessage="1" xr:uid="{7BFDAB30-D5CD-4821-A77D-FB2151032F8D}">
          <x14:formula1>
            <xm:f>Listes_défilantes!$C$66:$C$69</xm:f>
          </x14:formula1>
          <xm:sqref>L52:L58</xm:sqref>
        </x14:dataValidation>
        <x14:dataValidation type="list" allowBlank="1" showInputMessage="1" xr:uid="{37644F28-E5FD-49D8-9D6D-A182FA55D78C}">
          <x14:formula1>
            <xm:f>Listes_défilantes!$B$72:$B$75</xm:f>
          </x14:formula1>
          <xm:sqref>K60:K66</xm:sqref>
        </x14:dataValidation>
        <x14:dataValidation type="list" allowBlank="1" showInputMessage="1" xr:uid="{1AC8AC4F-5BD9-415A-AD1F-2A8DCC7EF9E9}">
          <x14:formula1>
            <xm:f>Listes_défilantes!$C$72:$C$75</xm:f>
          </x14:formula1>
          <xm:sqref>L60:L66</xm:sqref>
        </x14:dataValidation>
        <x14:dataValidation type="list" allowBlank="1" showInputMessage="1" xr:uid="{05798063-693B-4315-A0D9-9EBD07151EF4}">
          <x14:formula1>
            <xm:f>Listes_défilantes!$B$77:$B$79</xm:f>
          </x14:formula1>
          <xm:sqref>K67:K73</xm:sqref>
        </x14:dataValidation>
        <x14:dataValidation type="list" allowBlank="1" showInputMessage="1" xr:uid="{2D2B8A04-162B-4F18-92FF-63D3B616D341}">
          <x14:formula1>
            <xm:f>Listes_défilantes!$C$77:$C$79</xm:f>
          </x14:formula1>
          <xm:sqref>L67:L73</xm:sqref>
        </x14:dataValidation>
        <x14:dataValidation type="list" allowBlank="1" showInputMessage="1" xr:uid="{862B0160-62C1-4223-A5B4-9C760FAC9483}">
          <x14:formula1>
            <xm:f>Listes_défilantes!$B$86:$B$88</xm:f>
          </x14:formula1>
          <xm:sqref>K82:K88</xm:sqref>
        </x14:dataValidation>
        <x14:dataValidation type="list" allowBlank="1" showInputMessage="1" xr:uid="{5D800F4D-F8AC-41D6-9C48-35B9F50B4EAF}">
          <x14:formula1>
            <xm:f>Listes_défilantes!$C$86:$C$88</xm:f>
          </x14:formula1>
          <xm:sqref>L82:L88</xm:sqref>
        </x14:dataValidation>
        <x14:dataValidation type="list" allowBlank="1" showInputMessage="1" xr:uid="{B92B6271-A59A-4DEC-BB0E-F92C5F7763BB}">
          <x14:formula1>
            <xm:f>Listes_défilantes!$B$90:$B$94</xm:f>
          </x14:formula1>
          <xm:sqref>K89:K95</xm:sqref>
        </x14:dataValidation>
        <x14:dataValidation type="list" showInputMessage="1" xr:uid="{8A78A524-671A-44E5-8822-78B100968925}">
          <x14:formula1>
            <xm:f>Listes_défilantes!$B$2:$B$4</xm:f>
          </x14:formula1>
          <xm:sqref>K4:K9</xm:sqref>
        </x14:dataValidation>
        <x14:dataValidation type="list" allowBlank="1" showInputMessage="1" xr:uid="{A059C0FA-BC92-4585-8553-60341D785196}">
          <x14:formula1>
            <xm:f>Listes_défilantes!$C$90:$C$94</xm:f>
          </x14:formula1>
          <xm:sqref>L89:L95</xm:sqref>
        </x14:dataValidation>
        <x14:dataValidation type="list" allowBlank="1" showInputMessage="1" xr:uid="{3CB08786-0850-442C-B89B-59F7E0F13FD6}">
          <x14:formula1>
            <xm:f>Listes_défilantes!$B$97:$B$103</xm:f>
          </x14:formula1>
          <xm:sqref>K97:K103</xm:sqref>
        </x14:dataValidation>
        <x14:dataValidation type="list" allowBlank="1" showInputMessage="1" xr:uid="{EE4813A7-7137-4FB6-9B42-3D5391A2A932}">
          <x14:formula1>
            <xm:f>Listes_défilantes!$C$97:$C$103</xm:f>
          </x14:formula1>
          <xm:sqref>L97:L103</xm:sqref>
        </x14:dataValidation>
        <x14:dataValidation type="list" allowBlank="1" showInputMessage="1" xr:uid="{6FD67D48-B976-40CB-BD2C-6719087006F4}">
          <x14:formula1>
            <xm:f>Listes_défilantes!$B$105:$B$109</xm:f>
          </x14:formula1>
          <xm:sqref>K104:K110</xm:sqref>
        </x14:dataValidation>
        <x14:dataValidation type="list" allowBlank="1" showInputMessage="1" xr:uid="{F1F516B0-B6B4-42BF-AB9D-17A6095CEC8A}">
          <x14:formula1>
            <xm:f>Listes_défilantes!$C$105:$C$109</xm:f>
          </x14:formula1>
          <xm:sqref>L104:L110</xm:sqref>
        </x14:dataValidation>
        <x14:dataValidation type="list" allowBlank="1" showInputMessage="1" xr:uid="{D272872E-F2D9-4EBC-9CFD-D015281A6DF5}">
          <x14:formula1>
            <xm:f>Listes_défilantes!$B$8:$B$14</xm:f>
          </x14:formula1>
          <xm:sqref>K10:K15</xm:sqref>
        </x14:dataValidation>
        <x14:dataValidation type="list" allowBlank="1" showInputMessage="1" xr:uid="{E7EA53A0-0A5D-44A3-9EE8-C63A77EC9FC2}">
          <x14:formula1>
            <xm:f>Listes_défilantes!$C$8:$C$14</xm:f>
          </x14:formula1>
          <xm:sqref>L10:L15</xm:sqref>
        </x14:dataValidation>
        <x14:dataValidation type="list" allowBlank="1" showInputMessage="1" xr:uid="{D20FF78B-2370-4645-ADD5-C42B745D4ECE}">
          <x14:formula1>
            <xm:f>Listes_défilantes!$B$31:$B$41</xm:f>
          </x14:formula1>
          <xm:sqref>K23:K29</xm:sqref>
        </x14:dataValidation>
        <x14:dataValidation type="list" allowBlank="1" showInputMessage="1" xr:uid="{321DF20B-038C-4E39-B006-C60B7A397B12}">
          <x14:formula1>
            <xm:f>Listes_défilantes!$C$31:$C$41</xm:f>
          </x14:formula1>
          <xm:sqref>L23:L29</xm:sqref>
        </x14:dataValidation>
        <x14:dataValidation type="list" allowBlank="1" showInputMessage="1" xr:uid="{E5D35C1D-3BCC-4E23-8BA9-9AA2DA9CA8AC}">
          <x14:formula1>
            <xm:f>Listes_défilantes!$B$81:$B$83</xm:f>
          </x14:formula1>
          <xm:sqref>K74:K80</xm:sqref>
        </x14:dataValidation>
        <x14:dataValidation type="list" allowBlank="1" showInputMessage="1" xr:uid="{EF25E60E-14F6-4D6C-A0C5-425CC120974B}">
          <x14:formula1>
            <xm:f>Listes_défilantes!$B$16:$B$28</xm:f>
          </x14:formula1>
          <xm:sqref>K16:K21</xm:sqref>
        </x14:dataValidation>
        <x14:dataValidation type="list" allowBlank="1" showInputMessage="1" xr:uid="{EA4952F0-7902-4163-BBE9-368165E580AE}">
          <x14:formula1>
            <xm:f>Listes_défilantes!$C$81:$C$83</xm:f>
          </x14:formula1>
          <xm:sqref>L74:L80</xm:sqref>
        </x14:dataValidation>
        <x14:dataValidation type="list" allowBlank="1" showInputMessage="1" xr:uid="{6195C79B-DA82-47DF-A856-B3F1BD225F8D}">
          <x14:formula1>
            <xm:f>Listes_défilantes!$C$16:$C$28</xm:f>
          </x14:formula1>
          <xm:sqref>L16:L21</xm:sqref>
        </x14:dataValidation>
        <x14:dataValidation type="list" allowBlank="1" showInputMessage="1" xr:uid="{4871AD06-1CB1-468B-B5A5-4CC15B925EE2}">
          <x14:formula1>
            <xm:f>Listes_défilantes!$B$43:$B$49</xm:f>
          </x14:formula1>
          <xm:sqref>K30:K36</xm:sqref>
        </x14:dataValidation>
        <x14:dataValidation type="list" allowBlank="1" showInputMessage="1" xr:uid="{2BCD69C4-D57C-4DFE-B412-B692277A82F4}">
          <x14:formula1>
            <xm:f>Listes_défilantes!$C$43:$C$49</xm:f>
          </x14:formula1>
          <xm:sqref>L30:L36</xm:sqref>
        </x14:dataValidation>
        <x14:dataValidation type="list" allowBlank="1" showInputMessage="1" xr:uid="{ED0C1C8A-66C0-4D08-A3C0-B55607E8B9B3}">
          <x14:formula1>
            <xm:f>Listes_défilantes!$B$52:$B$55</xm:f>
          </x14:formula1>
          <xm:sqref>K38:K44</xm:sqref>
        </x14:dataValidation>
        <x14:dataValidation type="list" allowBlank="1" showInputMessage="1" xr:uid="{343D9D38-2BAF-4900-8B0D-2F57CB923458}">
          <x14:formula1>
            <xm:f>Listes_défilantes!$C$52:$C$55</xm:f>
          </x14:formula1>
          <xm:sqref>L38:L44</xm:sqref>
        </x14:dataValidation>
        <x14:dataValidation type="list" allowBlank="1" showInputMessage="1" xr:uid="{6A09E598-FC71-4078-8693-5B4762EC77F3}">
          <x14:formula1>
            <xm:f>Listes_défilantes!$B$57:$B$64</xm:f>
          </x14:formula1>
          <xm:sqref>K45:K51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89016-2C77-4239-81A8-8869F89F579D}">
  <dimension ref="A1:D110"/>
  <sheetViews>
    <sheetView topLeftCell="A98" workbookViewId="0">
      <selection activeCell="D34" sqref="D34"/>
    </sheetView>
  </sheetViews>
  <sheetFormatPr defaultColWidth="11.4609375" defaultRowHeight="12.75" x14ac:dyDescent="0.15"/>
  <cols>
    <col min="1" max="1" width="23.05859375" customWidth="1"/>
    <col min="2" max="2" width="26.69921875" customWidth="1"/>
    <col min="3" max="3" width="25.484375" customWidth="1"/>
    <col min="4" max="4" width="11.4609375" customWidth="1"/>
  </cols>
  <sheetData>
    <row r="1" spans="1:4" ht="13.5" thickBot="1" x14ac:dyDescent="0.2">
      <c r="A1" t="s">
        <v>20</v>
      </c>
    </row>
    <row r="2" spans="1:4" x14ac:dyDescent="0.15">
      <c r="A2" s="59" t="s">
        <v>21</v>
      </c>
      <c r="B2" s="60" t="s">
        <v>22</v>
      </c>
      <c r="C2" s="61" t="s">
        <v>23</v>
      </c>
      <c r="D2" s="62"/>
    </row>
    <row r="3" spans="1:4" ht="24" x14ac:dyDescent="0.15">
      <c r="A3" s="63"/>
      <c r="B3" s="58" t="s">
        <v>61</v>
      </c>
      <c r="C3" s="64" t="s">
        <v>62</v>
      </c>
      <c r="D3" s="62"/>
    </row>
    <row r="4" spans="1:4" x14ac:dyDescent="0.15">
      <c r="A4" s="63"/>
      <c r="C4" s="64" t="s">
        <v>63</v>
      </c>
      <c r="D4" s="62"/>
    </row>
    <row r="5" spans="1:4" x14ac:dyDescent="0.15">
      <c r="A5" s="63"/>
      <c r="B5" s="58"/>
      <c r="C5" s="64" t="s">
        <v>64</v>
      </c>
      <c r="D5" s="62"/>
    </row>
    <row r="6" spans="1:4" ht="13.5" thickBot="1" x14ac:dyDescent="0.2">
      <c r="A6" s="65"/>
      <c r="B6" s="66"/>
      <c r="C6" s="67"/>
    </row>
    <row r="7" spans="1:4" ht="13.5" thickBot="1" x14ac:dyDescent="0.2">
      <c r="C7" s="58"/>
    </row>
    <row r="8" spans="1:4" ht="24" x14ac:dyDescent="0.15">
      <c r="A8" s="59" t="s">
        <v>24</v>
      </c>
      <c r="B8" s="60" t="s">
        <v>25</v>
      </c>
      <c r="C8" s="68" t="s">
        <v>23</v>
      </c>
    </row>
    <row r="9" spans="1:4" ht="24" x14ac:dyDescent="0.15">
      <c r="A9" s="69"/>
      <c r="B9" s="58" t="s">
        <v>65</v>
      </c>
      <c r="C9" s="64" t="s">
        <v>66</v>
      </c>
    </row>
    <row r="10" spans="1:4" ht="24" x14ac:dyDescent="0.15">
      <c r="A10" s="69"/>
      <c r="B10" s="58" t="s">
        <v>67</v>
      </c>
      <c r="C10" s="64" t="s">
        <v>68</v>
      </c>
    </row>
    <row r="11" spans="1:4" x14ac:dyDescent="0.15">
      <c r="A11" s="63"/>
      <c r="B11" s="58" t="s">
        <v>69</v>
      </c>
      <c r="C11" s="64" t="s">
        <v>70</v>
      </c>
    </row>
    <row r="12" spans="1:4" ht="24" x14ac:dyDescent="0.15">
      <c r="A12" s="63"/>
      <c r="B12" s="58" t="s">
        <v>71</v>
      </c>
      <c r="C12" s="64" t="s">
        <v>72</v>
      </c>
    </row>
    <row r="13" spans="1:4" x14ac:dyDescent="0.15">
      <c r="A13" s="63"/>
      <c r="B13" s="58" t="s">
        <v>73</v>
      </c>
      <c r="C13" s="70"/>
    </row>
    <row r="14" spans="1:4" ht="13.5" thickBot="1" x14ac:dyDescent="0.2">
      <c r="A14" s="71"/>
      <c r="B14" s="72"/>
      <c r="C14" s="67"/>
    </row>
    <row r="15" spans="1:4" ht="13.5" thickBot="1" x14ac:dyDescent="0.2">
      <c r="A15" s="58"/>
      <c r="B15" s="58"/>
      <c r="C15" s="58"/>
    </row>
    <row r="16" spans="1:4" ht="35.25" x14ac:dyDescent="0.15">
      <c r="A16" s="59" t="s">
        <v>26</v>
      </c>
      <c r="B16" s="60" t="s">
        <v>74</v>
      </c>
      <c r="C16" s="68" t="s">
        <v>23</v>
      </c>
    </row>
    <row r="17" spans="1:3" x14ac:dyDescent="0.15">
      <c r="A17" s="63"/>
      <c r="B17" s="58" t="s">
        <v>27</v>
      </c>
      <c r="C17" s="64"/>
    </row>
    <row r="18" spans="1:3" ht="35.25" x14ac:dyDescent="0.15">
      <c r="A18" s="63"/>
      <c r="B18" s="58" t="s">
        <v>173</v>
      </c>
      <c r="C18" s="64" t="s">
        <v>174</v>
      </c>
    </row>
    <row r="19" spans="1:3" ht="24" x14ac:dyDescent="0.15">
      <c r="A19" s="63"/>
      <c r="B19" s="58" t="s">
        <v>75</v>
      </c>
      <c r="C19" s="64" t="s">
        <v>76</v>
      </c>
    </row>
    <row r="20" spans="1:3" ht="24" x14ac:dyDescent="0.15">
      <c r="A20" s="63"/>
      <c r="B20" s="58" t="s">
        <v>77</v>
      </c>
      <c r="C20" s="64" t="s">
        <v>78</v>
      </c>
    </row>
    <row r="21" spans="1:3" ht="24" x14ac:dyDescent="0.15">
      <c r="A21" s="63"/>
      <c r="B21" s="58" t="s">
        <v>79</v>
      </c>
      <c r="C21" s="64" t="s">
        <v>80</v>
      </c>
    </row>
    <row r="22" spans="1:3" x14ac:dyDescent="0.15">
      <c r="A22" s="63"/>
      <c r="B22" s="58" t="s">
        <v>81</v>
      </c>
      <c r="C22" s="64" t="s">
        <v>82</v>
      </c>
    </row>
    <row r="23" spans="1:3" ht="24" x14ac:dyDescent="0.15">
      <c r="A23" s="63"/>
      <c r="B23" s="58" t="s">
        <v>83</v>
      </c>
      <c r="C23" s="64"/>
    </row>
    <row r="24" spans="1:3" ht="24" x14ac:dyDescent="0.15">
      <c r="A24" s="63"/>
      <c r="B24" s="58" t="s">
        <v>84</v>
      </c>
      <c r="C24" s="64" t="s">
        <v>85</v>
      </c>
    </row>
    <row r="25" spans="1:3" ht="24" x14ac:dyDescent="0.15">
      <c r="A25" s="63"/>
      <c r="B25" s="58" t="s">
        <v>86</v>
      </c>
      <c r="C25" s="64"/>
    </row>
    <row r="26" spans="1:3" ht="24" x14ac:dyDescent="0.15">
      <c r="A26" s="63"/>
      <c r="B26" s="58" t="s">
        <v>87</v>
      </c>
      <c r="C26" s="64" t="s">
        <v>88</v>
      </c>
    </row>
    <row r="27" spans="1:3" ht="24" x14ac:dyDescent="0.15">
      <c r="A27" s="63"/>
      <c r="B27" s="58" t="s">
        <v>89</v>
      </c>
      <c r="C27" s="64" t="s">
        <v>90</v>
      </c>
    </row>
    <row r="28" spans="1:3" ht="13.5" thickBot="1" x14ac:dyDescent="0.2">
      <c r="A28" s="71"/>
      <c r="B28" s="72"/>
      <c r="C28" s="67"/>
    </row>
    <row r="29" spans="1:3" x14ac:dyDescent="0.15">
      <c r="A29" s="58"/>
      <c r="B29" s="58"/>
      <c r="C29" s="58"/>
    </row>
    <row r="30" spans="1:3" ht="14.45" customHeight="1" thickBot="1" x14ac:dyDescent="0.2">
      <c r="A30" s="138" t="s">
        <v>28</v>
      </c>
      <c r="B30" s="138"/>
      <c r="C30" s="58"/>
    </row>
    <row r="31" spans="1:3" ht="57.6" customHeight="1" x14ac:dyDescent="0.15">
      <c r="A31" s="59" t="s">
        <v>29</v>
      </c>
      <c r="B31" s="74" t="s">
        <v>30</v>
      </c>
      <c r="C31" s="68" t="s">
        <v>23</v>
      </c>
    </row>
    <row r="32" spans="1:3" x14ac:dyDescent="0.15">
      <c r="A32" s="63"/>
      <c r="B32" s="73" t="s">
        <v>91</v>
      </c>
      <c r="C32" s="64"/>
    </row>
    <row r="33" spans="1:3" ht="55.9" customHeight="1" x14ac:dyDescent="0.15">
      <c r="A33" s="69"/>
      <c r="B33" s="58" t="s">
        <v>92</v>
      </c>
      <c r="C33" s="64" t="s">
        <v>93</v>
      </c>
    </row>
    <row r="34" spans="1:3" ht="35.25" x14ac:dyDescent="0.15">
      <c r="A34" s="69"/>
      <c r="B34" s="58" t="s">
        <v>94</v>
      </c>
      <c r="C34" s="64" t="s">
        <v>180</v>
      </c>
    </row>
    <row r="35" spans="1:3" ht="24" x14ac:dyDescent="0.15">
      <c r="A35" s="69"/>
      <c r="B35" s="58" t="s">
        <v>95</v>
      </c>
      <c r="C35" s="64"/>
    </row>
    <row r="36" spans="1:3" ht="24" x14ac:dyDescent="0.15">
      <c r="A36" s="63"/>
      <c r="B36" s="58" t="s">
        <v>96</v>
      </c>
      <c r="C36" s="64" t="s">
        <v>97</v>
      </c>
    </row>
    <row r="37" spans="1:3" ht="24" x14ac:dyDescent="0.15">
      <c r="A37" s="63"/>
      <c r="B37" s="58" t="s">
        <v>98</v>
      </c>
      <c r="C37" s="64"/>
    </row>
    <row r="38" spans="1:3" ht="24" x14ac:dyDescent="0.15">
      <c r="A38" s="63"/>
      <c r="B38" s="58" t="s">
        <v>99</v>
      </c>
      <c r="C38" s="64" t="s">
        <v>100</v>
      </c>
    </row>
    <row r="39" spans="1:3" ht="35.25" x14ac:dyDescent="0.15">
      <c r="A39" s="63"/>
      <c r="B39" s="58" t="s">
        <v>101</v>
      </c>
      <c r="C39" s="64" t="s">
        <v>102</v>
      </c>
    </row>
    <row r="40" spans="1:3" x14ac:dyDescent="0.15">
      <c r="A40" s="63"/>
      <c r="B40" s="58"/>
      <c r="C40" s="64"/>
    </row>
    <row r="41" spans="1:3" ht="13.5" thickBot="1" x14ac:dyDescent="0.2">
      <c r="A41" s="71"/>
      <c r="B41" s="72"/>
      <c r="C41" s="67"/>
    </row>
    <row r="42" spans="1:3" ht="13.5" thickBot="1" x14ac:dyDescent="0.2">
      <c r="A42" s="58"/>
      <c r="B42" s="58"/>
      <c r="C42" s="58"/>
    </row>
    <row r="43" spans="1:3" ht="35.25" x14ac:dyDescent="0.15">
      <c r="A43" s="59" t="s">
        <v>31</v>
      </c>
      <c r="B43" s="60" t="s">
        <v>32</v>
      </c>
      <c r="C43" s="68" t="s">
        <v>23</v>
      </c>
    </row>
    <row r="44" spans="1:3" ht="24" x14ac:dyDescent="0.15">
      <c r="A44" s="63"/>
      <c r="B44" s="58" t="s">
        <v>103</v>
      </c>
      <c r="C44" s="64" t="s">
        <v>104</v>
      </c>
    </row>
    <row r="45" spans="1:3" ht="24" x14ac:dyDescent="0.15">
      <c r="A45" s="63"/>
      <c r="B45" s="58" t="s">
        <v>105</v>
      </c>
      <c r="C45" s="64" t="s">
        <v>106</v>
      </c>
    </row>
    <row r="46" spans="1:3" x14ac:dyDescent="0.15">
      <c r="A46" s="63"/>
      <c r="B46" s="58" t="s">
        <v>107</v>
      </c>
      <c r="C46" s="64"/>
    </row>
    <row r="47" spans="1:3" ht="24" x14ac:dyDescent="0.15">
      <c r="A47" s="63"/>
      <c r="B47" s="58" t="s">
        <v>108</v>
      </c>
      <c r="C47" s="64" t="s">
        <v>109</v>
      </c>
    </row>
    <row r="48" spans="1:3" ht="24" x14ac:dyDescent="0.15">
      <c r="A48" s="63"/>
      <c r="B48" s="58" t="s">
        <v>110</v>
      </c>
      <c r="C48" s="64" t="s">
        <v>111</v>
      </c>
    </row>
    <row r="49" spans="1:3" ht="13.5" thickBot="1" x14ac:dyDescent="0.2">
      <c r="A49" s="71"/>
      <c r="B49" s="72"/>
      <c r="C49" s="67"/>
    </row>
    <row r="50" spans="1:3" x14ac:dyDescent="0.15">
      <c r="A50" s="58"/>
      <c r="B50" s="58"/>
      <c r="C50" s="58"/>
    </row>
    <row r="51" spans="1:3" ht="24" x14ac:dyDescent="0.15">
      <c r="A51" s="58" t="s">
        <v>112</v>
      </c>
    </row>
    <row r="52" spans="1:3" ht="24" x14ac:dyDescent="0.15">
      <c r="A52" s="59" t="s">
        <v>34</v>
      </c>
      <c r="B52" s="60" t="s">
        <v>35</v>
      </c>
      <c r="C52" s="68" t="s">
        <v>23</v>
      </c>
    </row>
    <row r="53" spans="1:3" ht="35.25" x14ac:dyDescent="0.15">
      <c r="A53" s="63"/>
      <c r="B53" s="58" t="s">
        <v>113</v>
      </c>
      <c r="C53" s="64" t="s">
        <v>114</v>
      </c>
    </row>
    <row r="54" spans="1:3" ht="35.25" x14ac:dyDescent="0.15">
      <c r="A54" s="63"/>
      <c r="B54" s="58" t="s">
        <v>115</v>
      </c>
      <c r="C54" s="64" t="s">
        <v>116</v>
      </c>
    </row>
    <row r="55" spans="1:3" ht="13.5" thickBot="1" x14ac:dyDescent="0.2">
      <c r="A55" s="71"/>
      <c r="B55" s="72"/>
      <c r="C55" s="67"/>
    </row>
    <row r="56" spans="1:3" ht="13.5" thickBot="1" x14ac:dyDescent="0.2">
      <c r="A56" s="58"/>
      <c r="B56" s="58"/>
      <c r="C56" s="58"/>
    </row>
    <row r="57" spans="1:3" ht="46.5" x14ac:dyDescent="0.15">
      <c r="A57" s="59" t="s">
        <v>36</v>
      </c>
      <c r="B57" s="60" t="s">
        <v>37</v>
      </c>
      <c r="C57" s="68" t="s">
        <v>23</v>
      </c>
    </row>
    <row r="58" spans="1:3" ht="35.25" x14ac:dyDescent="0.15">
      <c r="A58" s="63"/>
      <c r="B58" s="58" t="s">
        <v>117</v>
      </c>
      <c r="C58" s="64" t="s">
        <v>118</v>
      </c>
    </row>
    <row r="59" spans="1:3" ht="24" x14ac:dyDescent="0.15">
      <c r="A59" s="63"/>
      <c r="B59" s="58" t="s">
        <v>119</v>
      </c>
      <c r="C59" s="64" t="s">
        <v>120</v>
      </c>
    </row>
    <row r="60" spans="1:3" ht="58.5" x14ac:dyDescent="0.15">
      <c r="A60" s="63"/>
      <c r="B60" s="58" t="s">
        <v>175</v>
      </c>
      <c r="C60" s="64" t="s">
        <v>176</v>
      </c>
    </row>
    <row r="61" spans="1:3" ht="24" x14ac:dyDescent="0.15">
      <c r="A61" s="63"/>
      <c r="B61" s="58" t="s">
        <v>177</v>
      </c>
      <c r="C61" s="64"/>
    </row>
    <row r="62" spans="1:3" x14ac:dyDescent="0.15">
      <c r="A62" s="63"/>
      <c r="B62" s="58" t="s">
        <v>121</v>
      </c>
      <c r="C62" s="64" t="s">
        <v>122</v>
      </c>
    </row>
    <row r="63" spans="1:3" ht="35.25" x14ac:dyDescent="0.15">
      <c r="A63" s="63"/>
      <c r="B63" s="58" t="s">
        <v>123</v>
      </c>
      <c r="C63" s="64" t="s">
        <v>124</v>
      </c>
    </row>
    <row r="64" spans="1:3" x14ac:dyDescent="0.15">
      <c r="A64" s="71"/>
      <c r="B64" s="72"/>
      <c r="C64" s="67" t="s">
        <v>125</v>
      </c>
    </row>
    <row r="65" spans="1:3" ht="13.5" thickBot="1" x14ac:dyDescent="0.2">
      <c r="A65" s="58"/>
      <c r="B65" s="58"/>
      <c r="C65" s="58"/>
    </row>
    <row r="66" spans="1:3" ht="35.25" x14ac:dyDescent="0.15">
      <c r="A66" s="59" t="s">
        <v>126</v>
      </c>
      <c r="B66" s="60" t="s">
        <v>127</v>
      </c>
      <c r="C66" s="68" t="s">
        <v>23</v>
      </c>
    </row>
    <row r="67" spans="1:3" ht="24" x14ac:dyDescent="0.15">
      <c r="A67" s="63"/>
      <c r="B67" s="58" t="s">
        <v>128</v>
      </c>
      <c r="C67" s="64" t="s">
        <v>129</v>
      </c>
    </row>
    <row r="68" spans="1:3" ht="24" x14ac:dyDescent="0.15">
      <c r="A68" s="63"/>
      <c r="B68" s="58" t="s">
        <v>130</v>
      </c>
      <c r="C68" s="64" t="s">
        <v>131</v>
      </c>
    </row>
    <row r="69" spans="1:3" ht="13.5" thickBot="1" x14ac:dyDescent="0.2">
      <c r="A69" s="71"/>
      <c r="B69" s="72"/>
      <c r="C69" s="67"/>
    </row>
    <row r="70" spans="1:3" x14ac:dyDescent="0.15">
      <c r="A70" s="58"/>
      <c r="B70" s="58"/>
      <c r="C70" s="58"/>
    </row>
    <row r="71" spans="1:3" ht="35.25" x14ac:dyDescent="0.15">
      <c r="A71" s="73" t="s">
        <v>40</v>
      </c>
      <c r="B71" s="73"/>
      <c r="C71" s="73"/>
    </row>
    <row r="72" spans="1:3" ht="46.5" x14ac:dyDescent="0.15">
      <c r="A72" s="75" t="s">
        <v>41</v>
      </c>
      <c r="B72" s="74" t="s">
        <v>42</v>
      </c>
      <c r="C72" s="76" t="s">
        <v>23</v>
      </c>
    </row>
    <row r="73" spans="1:3" ht="24" x14ac:dyDescent="0.15">
      <c r="A73" s="77"/>
      <c r="B73" s="73" t="s">
        <v>132</v>
      </c>
      <c r="C73" s="78" t="s">
        <v>133</v>
      </c>
    </row>
    <row r="74" spans="1:3" ht="35.25" x14ac:dyDescent="0.15">
      <c r="A74" s="77"/>
      <c r="B74" s="79" t="s">
        <v>134</v>
      </c>
      <c r="C74" s="78" t="s">
        <v>135</v>
      </c>
    </row>
    <row r="75" spans="1:3" ht="13.5" thickBot="1" x14ac:dyDescent="0.2">
      <c r="A75" s="80"/>
      <c r="B75" s="81"/>
      <c r="C75" s="82"/>
    </row>
    <row r="76" spans="1:3" ht="13.5" thickBot="1" x14ac:dyDescent="0.2">
      <c r="A76" s="73"/>
      <c r="B76" s="73"/>
      <c r="C76" s="73"/>
    </row>
    <row r="77" spans="1:3" ht="24" x14ac:dyDescent="0.15">
      <c r="A77" s="75" t="s">
        <v>43</v>
      </c>
      <c r="B77" s="74" t="s">
        <v>44</v>
      </c>
      <c r="C77" s="76" t="s">
        <v>23</v>
      </c>
    </row>
    <row r="78" spans="1:3" ht="24" x14ac:dyDescent="0.15">
      <c r="A78" s="77"/>
      <c r="B78" s="73" t="s">
        <v>136</v>
      </c>
      <c r="C78" s="78" t="s">
        <v>137</v>
      </c>
    </row>
    <row r="79" spans="1:3" ht="13.5" thickBot="1" x14ac:dyDescent="0.2">
      <c r="A79" s="80"/>
      <c r="B79" s="81"/>
      <c r="C79" s="82"/>
    </row>
    <row r="80" spans="1:3" ht="13.5" thickBot="1" x14ac:dyDescent="0.2">
      <c r="A80" s="73"/>
      <c r="B80" s="73"/>
      <c r="C80" s="73"/>
    </row>
    <row r="81" spans="1:3" ht="35.25" x14ac:dyDescent="0.15">
      <c r="A81" s="75" t="s">
        <v>45</v>
      </c>
      <c r="B81" s="74" t="s">
        <v>46</v>
      </c>
      <c r="C81" s="76" t="s">
        <v>23</v>
      </c>
    </row>
    <row r="82" spans="1:3" ht="35.25" x14ac:dyDescent="0.15">
      <c r="B82" s="73" t="s">
        <v>138</v>
      </c>
      <c r="C82" s="78" t="s">
        <v>139</v>
      </c>
    </row>
    <row r="83" spans="1:3" ht="13.5" thickBot="1" x14ac:dyDescent="0.2">
      <c r="A83" s="80"/>
      <c r="B83" s="81"/>
      <c r="C83" s="82"/>
    </row>
    <row r="84" spans="1:3" x14ac:dyDescent="0.15">
      <c r="A84" s="73"/>
      <c r="B84" s="73"/>
      <c r="C84" s="73"/>
    </row>
    <row r="85" spans="1:3" ht="35.25" x14ac:dyDescent="0.15">
      <c r="A85" s="73" t="s">
        <v>47</v>
      </c>
      <c r="B85" s="73"/>
      <c r="C85" s="73"/>
    </row>
    <row r="86" spans="1:3" ht="24" x14ac:dyDescent="0.15">
      <c r="A86" s="75" t="s">
        <v>48</v>
      </c>
      <c r="B86" s="74" t="s">
        <v>49</v>
      </c>
      <c r="C86" s="76" t="s">
        <v>23</v>
      </c>
    </row>
    <row r="87" spans="1:3" ht="35.25" x14ac:dyDescent="0.15">
      <c r="A87" s="77"/>
      <c r="B87" s="73" t="s">
        <v>140</v>
      </c>
      <c r="C87" s="78" t="s">
        <v>141</v>
      </c>
    </row>
    <row r="88" spans="1:3" ht="13.5" thickBot="1" x14ac:dyDescent="0.2">
      <c r="A88" s="80"/>
      <c r="B88" s="81"/>
      <c r="C88" s="82"/>
    </row>
    <row r="89" spans="1:3" ht="13.5" thickBot="1" x14ac:dyDescent="0.2">
      <c r="A89" s="73"/>
      <c r="B89" s="73"/>
      <c r="C89" s="73"/>
    </row>
    <row r="90" spans="1:3" ht="24" x14ac:dyDescent="0.15">
      <c r="A90" s="75" t="s">
        <v>50</v>
      </c>
      <c r="B90" s="74" t="s">
        <v>51</v>
      </c>
      <c r="C90" s="76" t="s">
        <v>23</v>
      </c>
    </row>
    <row r="91" spans="1:3" ht="24" x14ac:dyDescent="0.15">
      <c r="A91" s="77"/>
      <c r="B91" s="73" t="s">
        <v>142</v>
      </c>
      <c r="C91" s="78" t="s">
        <v>143</v>
      </c>
    </row>
    <row r="92" spans="1:3" ht="24" x14ac:dyDescent="0.15">
      <c r="A92" s="77"/>
      <c r="B92" s="73" t="s">
        <v>144</v>
      </c>
      <c r="C92" s="78" t="s">
        <v>145</v>
      </c>
    </row>
    <row r="93" spans="1:3" ht="35.25" x14ac:dyDescent="0.15">
      <c r="A93" s="77"/>
      <c r="B93" s="73" t="s">
        <v>146</v>
      </c>
      <c r="C93" s="78" t="s">
        <v>147</v>
      </c>
    </row>
    <row r="94" spans="1:3" ht="13.5" thickBot="1" x14ac:dyDescent="0.2">
      <c r="A94" s="80"/>
      <c r="B94" s="81"/>
      <c r="C94" s="82"/>
    </row>
    <row r="95" spans="1:3" x14ac:dyDescent="0.15">
      <c r="A95" s="73"/>
      <c r="B95" s="73"/>
      <c r="C95" s="73"/>
    </row>
    <row r="96" spans="1:3" ht="24" x14ac:dyDescent="0.15">
      <c r="A96" s="73" t="s">
        <v>52</v>
      </c>
      <c r="B96" s="73"/>
      <c r="C96" s="73"/>
    </row>
    <row r="97" spans="1:3" ht="46.5" x14ac:dyDescent="0.15">
      <c r="A97" s="75" t="s">
        <v>53</v>
      </c>
      <c r="B97" s="74" t="s">
        <v>148</v>
      </c>
      <c r="C97" s="76" t="s">
        <v>23</v>
      </c>
    </row>
    <row r="98" spans="1:3" ht="24" x14ac:dyDescent="0.15">
      <c r="A98" s="77"/>
      <c r="B98" s="73" t="s">
        <v>149</v>
      </c>
      <c r="C98" s="78" t="s">
        <v>150</v>
      </c>
    </row>
    <row r="99" spans="1:3" ht="35.25" x14ac:dyDescent="0.15">
      <c r="A99" s="77"/>
      <c r="B99" s="73" t="s">
        <v>151</v>
      </c>
      <c r="C99" s="78" t="s">
        <v>152</v>
      </c>
    </row>
    <row r="100" spans="1:3" ht="24" x14ac:dyDescent="0.15">
      <c r="A100" s="77"/>
      <c r="B100" s="73" t="s">
        <v>178</v>
      </c>
      <c r="C100" s="78" t="s">
        <v>179</v>
      </c>
    </row>
    <row r="101" spans="1:3" x14ac:dyDescent="0.15">
      <c r="A101" s="77"/>
      <c r="B101" s="73" t="s">
        <v>54</v>
      </c>
      <c r="C101" s="78"/>
    </row>
    <row r="102" spans="1:3" ht="46.5" x14ac:dyDescent="0.15">
      <c r="A102" s="77"/>
      <c r="B102" s="73" t="s">
        <v>153</v>
      </c>
      <c r="C102" s="78" t="s">
        <v>154</v>
      </c>
    </row>
    <row r="103" spans="1:3" ht="13.5" thickBot="1" x14ac:dyDescent="0.2">
      <c r="A103" s="80"/>
      <c r="B103" s="81"/>
      <c r="C103" s="82"/>
    </row>
    <row r="104" spans="1:3" x14ac:dyDescent="0.15">
      <c r="A104" s="73"/>
      <c r="B104" s="73"/>
      <c r="C104" s="73"/>
    </row>
    <row r="105" spans="1:3" ht="24" x14ac:dyDescent="0.15">
      <c r="A105" s="83" t="s">
        <v>55</v>
      </c>
      <c r="B105" s="84" t="s">
        <v>155</v>
      </c>
      <c r="C105" s="85" t="s">
        <v>23</v>
      </c>
    </row>
    <row r="106" spans="1:3" ht="24" x14ac:dyDescent="0.15">
      <c r="A106" s="86"/>
      <c r="B106" s="73" t="s">
        <v>156</v>
      </c>
      <c r="C106" s="87" t="s">
        <v>157</v>
      </c>
    </row>
    <row r="107" spans="1:3" ht="24" x14ac:dyDescent="0.15">
      <c r="A107" s="86"/>
      <c r="B107" s="73" t="s">
        <v>158</v>
      </c>
      <c r="C107" s="87" t="s">
        <v>159</v>
      </c>
    </row>
    <row r="108" spans="1:3" ht="24" x14ac:dyDescent="0.15">
      <c r="A108" s="86"/>
      <c r="B108" s="73" t="s">
        <v>160</v>
      </c>
      <c r="C108" s="87" t="s">
        <v>161</v>
      </c>
    </row>
    <row r="109" spans="1:3" x14ac:dyDescent="0.15">
      <c r="A109" s="88"/>
      <c r="B109" s="89"/>
      <c r="C109" s="90"/>
    </row>
    <row r="110" spans="1:3" x14ac:dyDescent="0.15">
      <c r="A110" s="79"/>
      <c r="B110" s="79"/>
      <c r="C110" s="79"/>
    </row>
  </sheetData>
  <mergeCells count="1">
    <mergeCell ref="A30:B30"/>
  </mergeCells>
  <pageMargins left="0.70000000000000007" right="0.70000000000000007" top="0.75" bottom="0.75" header="0.30000000000000004" footer="0.3000000000000000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F4B07-846B-4119-8EEC-171EF1B66161}">
  <dimension ref="A1:D10"/>
  <sheetViews>
    <sheetView workbookViewId="0"/>
  </sheetViews>
  <sheetFormatPr defaultColWidth="10.515625" defaultRowHeight="12.75" x14ac:dyDescent="0.15"/>
  <cols>
    <col min="1" max="1" width="22.3828125" customWidth="1"/>
    <col min="2" max="2" width="58.390625" style="62" customWidth="1"/>
    <col min="3" max="3" width="13.078125" customWidth="1"/>
    <col min="4" max="4" width="24.2734375" customWidth="1"/>
    <col min="5" max="5" width="10.515625" customWidth="1"/>
  </cols>
  <sheetData>
    <row r="1" spans="1:4" ht="13.5" thickBot="1" x14ac:dyDescent="0.2">
      <c r="B1" s="91" t="s">
        <v>162</v>
      </c>
      <c r="C1" s="24"/>
      <c r="D1" s="24"/>
    </row>
    <row r="2" spans="1:4" x14ac:dyDescent="0.15">
      <c r="D2" s="1"/>
    </row>
    <row r="3" spans="1:4" ht="21" customHeight="1" x14ac:dyDescent="0.15">
      <c r="A3" s="92" t="s">
        <v>163</v>
      </c>
      <c r="B3" s="93" t="s">
        <v>164</v>
      </c>
      <c r="C3" s="94" t="s">
        <v>165</v>
      </c>
    </row>
    <row r="4" spans="1:4" x14ac:dyDescent="0.15">
      <c r="A4" s="95">
        <v>1</v>
      </c>
      <c r="B4" s="96" t="s">
        <v>166</v>
      </c>
      <c r="C4" s="97">
        <f>grille_de_cotation!J3</f>
        <v>1</v>
      </c>
    </row>
    <row r="5" spans="1:4" x14ac:dyDescent="0.15">
      <c r="A5" s="95">
        <v>2</v>
      </c>
      <c r="B5" s="96" t="s">
        <v>167</v>
      </c>
      <c r="C5" s="97">
        <f>grille_de_cotation!J22</f>
        <v>1</v>
      </c>
    </row>
    <row r="6" spans="1:4" x14ac:dyDescent="0.15">
      <c r="A6" s="95">
        <v>3</v>
      </c>
      <c r="B6" s="96" t="s">
        <v>168</v>
      </c>
      <c r="C6" s="97">
        <f>grille_de_cotation!J37</f>
        <v>1</v>
      </c>
    </row>
    <row r="7" spans="1:4" x14ac:dyDescent="0.15">
      <c r="A7" s="95">
        <v>4</v>
      </c>
      <c r="B7" s="96" t="s">
        <v>169</v>
      </c>
      <c r="C7" s="97">
        <f>grille_de_cotation!J59</f>
        <v>1</v>
      </c>
    </row>
    <row r="8" spans="1:4" x14ac:dyDescent="0.15">
      <c r="A8" s="98">
        <v>5</v>
      </c>
      <c r="B8" s="99" t="s">
        <v>170</v>
      </c>
      <c r="C8" s="97">
        <f>grille_de_cotation!J81</f>
        <v>1</v>
      </c>
    </row>
    <row r="9" spans="1:4" x14ac:dyDescent="0.15">
      <c r="A9" s="100">
        <v>6</v>
      </c>
      <c r="B9" s="101" t="s">
        <v>171</v>
      </c>
      <c r="C9" s="97">
        <f>grille_de_cotation!J96</f>
        <v>1</v>
      </c>
    </row>
    <row r="10" spans="1:4" x14ac:dyDescent="0.15">
      <c r="A10" s="139" t="s">
        <v>172</v>
      </c>
      <c r="B10" s="139"/>
      <c r="C10" s="102">
        <f>SUM(C4:C9)/6</f>
        <v>1</v>
      </c>
    </row>
  </sheetData>
  <mergeCells count="1">
    <mergeCell ref="A10:B10"/>
  </mergeCells>
  <pageMargins left="0.32013888888888908" right="0.32013888888888908" top="2.66" bottom="0.98402777777777817" header="0.34000000000000008" footer="0.49236111111111103"/>
  <pageSetup paperSize="0" fitToWidth="0" fitToHeight="0" orientation="portrait" useFirstPageNumber="1" horizontalDpi="0" verticalDpi="0" copies="0"/>
  <headerFooter alignWithMargins="0"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1</vt:i4>
      </vt:variant>
    </vt:vector>
  </HeadingPairs>
  <TitlesOfParts>
    <vt:vector size="5" baseType="lpstr">
      <vt:lpstr>cartographie</vt:lpstr>
      <vt:lpstr>grille_de_cotation</vt:lpstr>
      <vt:lpstr>Listes_défilantes</vt:lpstr>
      <vt:lpstr>résultats</vt:lpstr>
      <vt:lpstr>grille_de_cotation!Impression_des_titres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Anne Berthault</dc:creator>
  <dc:description/>
  <cp:lastModifiedBy>Anne SUQUET</cp:lastModifiedBy>
  <dcterms:created xsi:type="dcterms:W3CDTF">2008-10-16T19:49:03Z</dcterms:created>
  <dcterms:modified xsi:type="dcterms:W3CDTF">2024-12-26T18:18:41Z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0x010100C6E4217CF410B543B147B12880CD372D</vt:lpwstr>
  </property>
</Properties>
</file>